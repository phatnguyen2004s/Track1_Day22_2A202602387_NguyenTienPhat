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ADME" sheetId="1" state="visible" r:id="rId1"/>
    <sheet xmlns:r="http://schemas.openxmlformats.org/officeDocument/2006/relationships" name="1_Cost_Job" sheetId="2" state="visible" r:id="rId2"/>
    <sheet xmlns:r="http://schemas.openxmlformats.org/officeDocument/2006/relationships" name="2_Pricing" sheetId="3" state="visible" r:id="rId3"/>
    <sheet xmlns:r="http://schemas.openxmlformats.org/officeDocument/2006/relationships" name="3_Value_Metric" sheetId="4" state="visible" r:id="rId4"/>
    <sheet xmlns:r="http://schemas.openxmlformats.org/officeDocument/2006/relationships" name="4_Channel_Fit" sheetId="5" state="visible" r:id="rId5"/>
    <sheet xmlns:r="http://schemas.openxmlformats.org/officeDocument/2006/relationships" name="5_90Day_Plan" sheetId="6" state="visible" r:id="rId6"/>
    <sheet xmlns:r="http://schemas.openxmlformats.org/officeDocument/2006/relationships" name="6_Benchmarks" sheetId="7" state="visible" r:id="rId7"/>
  </sheets>
  <definedNames/>
  <calcPr calcId="124519" fullCalcOnLoad="1"/>
</workbook>
</file>

<file path=xl/styles.xml><?xml version="1.0" encoding="utf-8"?>
<styleSheet xmlns="http://schemas.openxmlformats.org/spreadsheetml/2006/main">
  <numFmts count="9">
    <numFmt numFmtId="164" formatCode="$#,##0.000"/>
    <numFmt numFmtId="165" formatCode="yyyy-mm-dd"/>
    <numFmt numFmtId="166" formatCode="dd/mm/yyyy"/>
    <numFmt numFmtId="167" formatCode="0.0%"/>
    <numFmt numFmtId="168" formatCode="$#,##0.0000"/>
    <numFmt numFmtId="169" formatCode="$#,##0.00"/>
    <numFmt numFmtId="170" formatCode="0.0"/>
    <numFmt numFmtId="171" formatCode="0.0&quot;×&quot;"/>
    <numFmt numFmtId="172" formatCode="#,##0.0"/>
  </numFmts>
  <fonts count="11">
    <font>
      <name val="Calibri"/>
      <family val="2"/>
      <color theme="1"/>
      <sz val="11"/>
      <scheme val="minor"/>
    </font>
    <font>
      <name val="Arial"/>
      <b val="1"/>
      <color rgb="001F3864"/>
      <sz val="14"/>
    </font>
    <font>
      <name val="Arial"/>
      <i val="1"/>
      <color rgb="00595959"/>
      <sz val="9"/>
    </font>
    <font>
      <name val="Arial"/>
      <b val="1"/>
      <color rgb="00FFFFFF"/>
      <sz val="10"/>
    </font>
    <font>
      <name val="Arial"/>
      <b val="1"/>
      <color rgb="00000000"/>
      <sz val="10"/>
    </font>
    <font>
      <name val="Arial"/>
      <color rgb="000000FF"/>
      <sz val="10"/>
    </font>
    <font>
      <name val="Arial"/>
      <color rgb="00404040"/>
      <sz val="9"/>
    </font>
    <font>
      <name val="Arial"/>
      <color rgb="00000000"/>
      <sz val="10"/>
    </font>
    <font>
      <name val="Arial"/>
      <color rgb="00595959"/>
      <sz val="10"/>
    </font>
    <font>
      <name val="Arial"/>
      <b val="1"/>
      <color rgb="000000FF"/>
      <sz val="10"/>
    </font>
    <font>
      <name val="Arial"/>
      <color rgb="00000000"/>
      <sz val="9"/>
    </font>
  </fonts>
  <fills count="9">
    <fill>
      <patternFill/>
    </fill>
    <fill>
      <patternFill patternType="gray125"/>
    </fill>
    <fill>
      <patternFill patternType="solid">
        <fgColor rgb="001F3864"/>
      </patternFill>
    </fill>
    <fill>
      <patternFill patternType="solid">
        <fgColor rgb="00D9E1F2"/>
      </patternFill>
    </fill>
    <fill>
      <patternFill patternType="solid">
        <fgColor rgb="00FFF59D"/>
      </patternFill>
    </fill>
    <fill>
      <patternFill patternType="solid">
        <fgColor rgb="00E7E6E6"/>
      </patternFill>
    </fill>
    <fill>
      <patternFill patternType="solid">
        <fgColor rgb="00C6EFCE"/>
      </patternFill>
    </fill>
    <fill>
      <patternFill patternType="solid">
        <fgColor rgb="00FFEB9C"/>
      </patternFill>
    </fill>
    <fill>
      <patternFill patternType="solid">
        <fgColor rgb="00FFC7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xf>
    <xf numFmtId="0" fontId="0" fillId="2" borderId="1" pivotButton="0" quotePrefix="0" xfId="0"/>
    <xf numFmtId="0" fontId="9" fillId="4"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0" borderId="1" applyAlignment="1" pivotButton="0" quotePrefix="0" xfId="0">
      <alignment horizontal="left" vertical="top" wrapText="1"/>
    </xf>
    <xf numFmtId="168" fontId="4" fillId="5" borderId="1" applyAlignment="1" pivotButton="0" quotePrefix="0" xfId="0">
      <alignment horizontal="right" vertical="top" wrapText="1"/>
    </xf>
    <xf numFmtId="0" fontId="8" fillId="0" borderId="1" applyAlignment="1" pivotButton="0" quotePrefix="0" xfId="0">
      <alignment horizontal="center" vertical="top" wrapText="1"/>
    </xf>
    <xf numFmtId="0" fontId="6" fillId="0" borderId="1" applyAlignment="1" pivotButton="0" quotePrefix="0" xfId="0">
      <alignment horizontal="left" vertical="top" wrapText="1"/>
    </xf>
    <xf numFmtId="167" fontId="4" fillId="5" borderId="1" applyAlignment="1" pivotButton="0" quotePrefix="0" xfId="0">
      <alignment horizontal="right" vertical="top" wrapText="1"/>
    </xf>
    <xf numFmtId="0" fontId="7" fillId="0" borderId="1" applyAlignment="1" pivotButton="0" quotePrefix="0" xfId="0">
      <alignment horizontal="left" vertical="top" wrapText="1"/>
    </xf>
    <xf numFmtId="167" fontId="7" fillId="5" borderId="1" applyAlignment="1" pivotButton="0" quotePrefix="0" xfId="0">
      <alignment horizontal="right" vertical="top" wrapText="1"/>
    </xf>
    <xf numFmtId="169" fontId="7" fillId="5" borderId="1" applyAlignment="1" pivotButton="0" quotePrefix="0" xfId="0">
      <alignment horizontal="right" vertical="top" wrapText="1"/>
    </xf>
    <xf numFmtId="4" fontId="7" fillId="5" borderId="1" applyAlignment="1" pivotButton="0" quotePrefix="0" xfId="0">
      <alignment horizontal="right" vertical="top" wrapText="1"/>
    </xf>
    <xf numFmtId="0" fontId="7" fillId="5" borderId="1" applyAlignment="1" pivotButton="0" quotePrefix="0" xfId="0">
      <alignment horizontal="left" vertical="top" wrapText="1"/>
    </xf>
    <xf numFmtId="3" fontId="5" fillId="4" borderId="1" applyAlignment="1" pivotButton="0" quotePrefix="0" xfId="0">
      <alignment horizontal="right" vertical="top" wrapText="1"/>
    </xf>
    <xf numFmtId="166" fontId="5" fillId="4" borderId="1" applyAlignment="1" pivotButton="0" quotePrefix="0" xfId="0">
      <alignment horizontal="right" vertical="top" wrapText="1"/>
    </xf>
    <xf numFmtId="0" fontId="5" fillId="4" borderId="1" applyAlignment="1" pivotButton="0" quotePrefix="0" xfId="0">
      <alignment horizontal="left" vertical="top" wrapText="1"/>
    </xf>
    <xf numFmtId="0" fontId="7" fillId="0" borderId="0" applyAlignment="1" pivotButton="0" quotePrefix="0" xfId="0">
      <alignment horizontal="left" vertical="top" wrapText="1"/>
    </xf>
    <xf numFmtId="0" fontId="2" fillId="0" borderId="0" applyAlignment="1" pivotButton="0" quotePrefix="0" xfId="0">
      <alignment horizontal="left" vertical="top" wrapText="1"/>
    </xf>
    <xf numFmtId="167" fontId="5" fillId="4" borderId="1" applyAlignment="1" pivotButton="0" quotePrefix="0" xfId="0">
      <alignment horizontal="right" vertical="top" wrapText="1"/>
    </xf>
    <xf numFmtId="3" fontId="7" fillId="5" borderId="1" applyAlignment="1" pivotButton="0" quotePrefix="0" xfId="0">
      <alignment horizontal="right" vertical="top" wrapText="1"/>
    </xf>
    <xf numFmtId="164" fontId="7" fillId="5" borderId="1" applyAlignment="1" pivotButton="0" quotePrefix="0" xfId="0">
      <alignment horizontal="right" vertical="top" wrapText="1"/>
    </xf>
    <xf numFmtId="1" fontId="5" fillId="4" borderId="1" applyAlignment="1" pivotButton="0" quotePrefix="0" xfId="0">
      <alignment horizontal="right" vertical="top" wrapText="1"/>
    </xf>
    <xf numFmtId="168" fontId="7" fillId="5" borderId="1" applyAlignment="1" pivotButton="0" quotePrefix="0" xfId="0">
      <alignment horizontal="right" vertical="top" wrapText="1"/>
    </xf>
    <xf numFmtId="168" fontId="5" fillId="4" borderId="1" applyAlignment="1" pivotButton="0" quotePrefix="0" xfId="0">
      <alignment horizontal="right" vertical="top" wrapText="1"/>
    </xf>
    <xf numFmtId="169" fontId="5" fillId="4" borderId="1" applyAlignment="1" pivotButton="0" quotePrefix="0" xfId="0">
      <alignment horizontal="right" vertical="top" wrapText="1"/>
    </xf>
    <xf numFmtId="0" fontId="4" fillId="3" borderId="1" applyAlignment="1" pivotButton="0" quotePrefix="0" xfId="0">
      <alignment horizontal="left" vertical="top" wrapText="1"/>
    </xf>
    <xf numFmtId="0" fontId="4" fillId="3" borderId="1" applyAlignment="1" pivotButton="0" quotePrefix="0" xfId="0">
      <alignment horizontal="center" vertical="top" wrapText="1"/>
    </xf>
    <xf numFmtId="169" fontId="5" fillId="5" borderId="1" applyAlignment="1" pivotButton="0" quotePrefix="0" xfId="0">
      <alignment horizontal="right" vertical="top" wrapText="1"/>
    </xf>
    <xf numFmtId="169" fontId="4" fillId="5" borderId="1" applyAlignment="1" pivotButton="0" quotePrefix="0" xfId="0">
      <alignment horizontal="right" vertical="top" wrapText="1"/>
    </xf>
    <xf numFmtId="170" fontId="5" fillId="4" borderId="1" applyAlignment="1" pivotButton="0" quotePrefix="0" xfId="0">
      <alignment horizontal="right" vertical="top" wrapText="1"/>
    </xf>
    <xf numFmtId="171" fontId="7" fillId="5" borderId="1" applyAlignment="1" pivotButton="0" quotePrefix="0" xfId="0">
      <alignment horizontal="right" vertical="top" wrapText="1"/>
    </xf>
    <xf numFmtId="3" fontId="4" fillId="5" borderId="1" applyAlignment="1" pivotButton="0" quotePrefix="0" xfId="0">
      <alignment horizontal="right" vertical="top" wrapText="1"/>
    </xf>
    <xf numFmtId="172" fontId="7" fillId="5" borderId="1" applyAlignment="1" pivotButton="0" quotePrefix="0" xfId="0">
      <alignment horizontal="right" vertical="top" wrapText="1"/>
    </xf>
    <xf numFmtId="0" fontId="7" fillId="5" borderId="1" applyAlignment="1" pivotButton="0" quotePrefix="0" xfId="0">
      <alignment horizontal="center" vertical="top" wrapText="1"/>
    </xf>
    <xf numFmtId="4" fontId="4" fillId="5" borderId="1" applyAlignment="1" pivotButton="0" quotePrefix="0" xfId="0">
      <alignment horizontal="right" vertical="top" wrapText="1"/>
    </xf>
    <xf numFmtId="1" fontId="7" fillId="5" borderId="1" applyAlignment="1" pivotButton="0" quotePrefix="0" xfId="0">
      <alignment horizontal="right" vertical="top" wrapText="1"/>
    </xf>
    <xf numFmtId="171" fontId="4" fillId="5" borderId="1" applyAlignment="1" pivotButton="0" quotePrefix="0" xfId="0">
      <alignment horizontal="right" vertical="top" wrapText="1"/>
    </xf>
    <xf numFmtId="1" fontId="5" fillId="4" borderId="1" applyAlignment="1" pivotButton="0" quotePrefix="0" xfId="0">
      <alignment horizontal="center" vertical="top" wrapText="1"/>
    </xf>
    <xf numFmtId="1" fontId="4" fillId="5" borderId="1" applyAlignment="1" pivotButton="0" quotePrefix="0" xfId="0">
      <alignment horizontal="center" vertical="top" wrapText="1"/>
    </xf>
    <xf numFmtId="0" fontId="0" fillId="0" borderId="1" pivotButton="0" quotePrefix="0" xfId="0"/>
    <xf numFmtId="0" fontId="9" fillId="4" borderId="1" applyAlignment="1" pivotButton="0" quotePrefix="0" xfId="0">
      <alignment horizontal="center" vertical="top" wrapText="1"/>
    </xf>
    <xf numFmtId="166" fontId="5" fillId="4" borderId="1" applyAlignment="1" pivotButton="0" quotePrefix="0" xfId="0">
      <alignment horizontal="center" vertical="top" wrapText="1"/>
    </xf>
    <xf numFmtId="164" fontId="5" fillId="0" borderId="1" applyAlignment="1" pivotButton="0" quotePrefix="0" xfId="0">
      <alignment horizontal="right" vertical="top" wrapText="1"/>
    </xf>
    <xf numFmtId="166" fontId="5" fillId="0" borderId="1" applyAlignment="1" pivotButton="0" quotePrefix="0" xfId="0">
      <alignment horizontal="center" vertical="top" wrapText="1"/>
    </xf>
    <xf numFmtId="1" fontId="5" fillId="0" borderId="1" applyAlignment="1" pivotButton="0" quotePrefix="0" xfId="0">
      <alignment horizontal="right" vertical="top" wrapText="1"/>
    </xf>
    <xf numFmtId="3" fontId="5" fillId="0" borderId="1" applyAlignment="1" pivotButton="0" quotePrefix="0" xfId="0">
      <alignment horizontal="right" vertical="top" wrapText="1"/>
    </xf>
  </cellXfs>
  <cellStyles count="1">
    <cellStyle name="Normal" xfId="0" builtinId="0" hidden="0"/>
  </cellStyles>
  <dxfs count="4">
    <dxf>
      <fill>
        <patternFill patternType="solid">
          <fgColor rgb="00F8CBAD"/>
        </patternFill>
      </fill>
    </dxf>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F7F7F"/>
    <outlinePr summaryBelow="1" summaryRight="1"/>
    <pageSetUpPr fitToPage="1"/>
  </sheetPr>
  <dimension ref="A1:G47"/>
  <sheetViews>
    <sheetView showGridLines="0" workbookViewId="0">
      <selection activeCell="A1" sqref="A1"/>
    </sheetView>
  </sheetViews>
  <sheetFormatPr baseColWidth="8" defaultRowHeight="15"/>
  <cols>
    <col width="52" customWidth="1" min="1" max="1"/>
    <col width="17" customWidth="1" min="2" max="2"/>
    <col width="13" customWidth="1" min="3" max="3"/>
    <col width="17" customWidth="1" min="4" max="4"/>
    <col width="17" customWidth="1" min="5" max="5"/>
    <col width="17" customWidth="1" min="6" max="6"/>
    <col width="40" customWidth="1" min="7" max="7"/>
  </cols>
  <sheetData>
    <row r="1">
      <c r="A1" s="1" t="inlineStr">
        <is>
          <t>Day 22 — Monetization Model (Cost/Job → Giá → Value Metric → Kênh → Evidence)</t>
        </is>
      </c>
    </row>
    <row r="2" ht="27" customHeight="1">
      <c r="A2" s="2" t="inlineStr">
        <is>
          <t>SẢN PHẨM GIẢ ĐỊNH (placeholder) — "HoaDonAI": AI nhập liệu và đối chiếu hóa đơn đầu vào cho SME Việt Nam. Thay các ô VÀNG bằng số liệu sản phẩm thật của bạn; mọi ô xám tự tính lại.</t>
        </is>
      </c>
    </row>
    <row r="4" ht="18" customHeight="1">
      <c r="A4" s="3" t="inlineStr">
        <is>
          <t>Quy ước màu</t>
        </is>
      </c>
      <c r="B4" s="4" t="n"/>
      <c r="C4" s="4" t="n"/>
      <c r="D4" s="4" t="n"/>
      <c r="E4" s="4" t="n"/>
      <c r="F4" s="4" t="n"/>
      <c r="G4" s="4" t="n"/>
    </row>
    <row r="5">
      <c r="A5" s="5" t="inlineStr">
        <is>
          <t>Vàng</t>
        </is>
      </c>
      <c r="B5" s="6" t="inlineStr">
        <is>
          <t>Ô bạn phải điền (chữ xanh dương = số nhập tay)</t>
        </is>
      </c>
      <c r="C5" s="7" t="n"/>
      <c r="D5" s="7" t="n"/>
      <c r="E5" s="7" t="n"/>
      <c r="F5" s="7" t="n"/>
      <c r="G5" s="8" t="n"/>
    </row>
    <row r="6">
      <c r="A6" s="9" t="inlineStr">
        <is>
          <t>Xám</t>
        </is>
      </c>
      <c r="B6" s="6" t="inlineStr">
        <is>
          <t>Công thức tự tính — không sửa</t>
        </is>
      </c>
      <c r="C6" s="7" t="n"/>
      <c r="D6" s="7" t="n"/>
      <c r="E6" s="7" t="n"/>
      <c r="F6" s="7" t="n"/>
      <c r="G6" s="8" t="n"/>
    </row>
    <row r="7">
      <c r="A7" s="10" t="inlineStr">
        <is>
          <t>Xanh lá</t>
        </is>
      </c>
      <c r="B7" s="6" t="inlineStr">
        <is>
          <t>Đạt ngưỡng</t>
        </is>
      </c>
      <c r="C7" s="7" t="n"/>
      <c r="D7" s="7" t="n"/>
      <c r="E7" s="7" t="n"/>
      <c r="F7" s="7" t="n"/>
      <c r="G7" s="8" t="n"/>
    </row>
    <row r="8">
      <c r="A8" s="11" t="inlineStr">
        <is>
          <t>Vàng cam</t>
        </is>
      </c>
      <c r="B8" s="6" t="inlineStr">
        <is>
          <t>Sát ngưỡng / cần kế hoạch cải thiện</t>
        </is>
      </c>
      <c r="C8" s="7" t="n"/>
      <c r="D8" s="7" t="n"/>
      <c r="E8" s="7" t="n"/>
      <c r="F8" s="7" t="n"/>
      <c r="G8" s="8" t="n"/>
    </row>
    <row r="9">
      <c r="A9" s="12" t="inlineStr">
        <is>
          <t>Đỏ</t>
        </is>
      </c>
      <c r="B9" s="6" t="inlineStr">
        <is>
          <t>Không đạt — quay lại sửa GIẢ ĐỊNH, không sửa giá cho đẹp</t>
        </is>
      </c>
      <c r="C9" s="7" t="n"/>
      <c r="D9" s="7" t="n"/>
      <c r="E9" s="7" t="n"/>
      <c r="F9" s="7" t="n"/>
      <c r="G9" s="8" t="n"/>
    </row>
    <row r="11" ht="18" customHeight="1">
      <c r="A11" s="3" t="inlineStr">
        <is>
          <t>Thứ tự làm và bản đồ tab</t>
        </is>
      </c>
      <c r="B11" s="4" t="n"/>
      <c r="C11" s="4" t="n"/>
      <c r="D11" s="4" t="n"/>
      <c r="E11" s="4" t="n"/>
      <c r="F11" s="4" t="n"/>
      <c r="G11" s="4" t="n"/>
    </row>
    <row r="12">
      <c r="A12" s="13" t="inlineStr">
        <is>
          <t>1_Cost_Job</t>
        </is>
      </c>
      <c r="B12" s="6" t="inlineStr">
        <is>
          <t>Tab nặng nhất — Cost/Job đủ 5 thành phần (S1–S8), hai biến thể HITL, Batch/cache.</t>
        </is>
      </c>
      <c r="C12" s="7" t="n"/>
      <c r="D12" s="7" t="n"/>
      <c r="E12" s="7" t="n"/>
      <c r="F12" s="7" t="n"/>
      <c r="G12" s="8" t="n"/>
    </row>
    <row r="13">
      <c r="A13" s="13" t="inlineStr">
        <is>
          <t>2_Pricing</t>
        </is>
      </c>
      <c r="B13" s="6" t="inlineStr">
        <is>
          <t>Giá sàn, giá trần, giá đề xuất, Gross Margin, breakeven containment, sensitivity, stress test.</t>
        </is>
      </c>
      <c r="C13" s="7" t="n"/>
      <c r="D13" s="7" t="n"/>
      <c r="E13" s="7" t="n"/>
      <c r="F13" s="7" t="n"/>
      <c r="G13" s="8" t="n"/>
    </row>
    <row r="14">
      <c r="A14" s="13" t="inlineStr">
        <is>
          <t>3_Value_Metric</t>
        </is>
      </c>
      <c r="B14" s="6" t="inlineStr">
        <is>
          <t>Chấm Attribution × Autonomy → Value Metric + Decision Note + 2 benchmark có link.</t>
        </is>
      </c>
      <c r="C14" s="7" t="n"/>
      <c r="D14" s="7" t="n"/>
      <c r="E14" s="7" t="n"/>
      <c r="F14" s="7" t="n"/>
      <c r="G14" s="8" t="n"/>
    </row>
    <row r="15">
      <c r="A15" s="13" t="inlineStr">
        <is>
          <t>4_Channel_Fit</t>
        </is>
      </c>
      <c r="B15" s="6" t="inlineStr">
        <is>
          <t>Ngân sách CAC, deal/AE/ngày, CAC thực, scorecard, chốt 1 kênh.</t>
        </is>
      </c>
      <c r="C15" s="7" t="n"/>
      <c r="D15" s="7" t="n"/>
      <c r="E15" s="7" t="n"/>
      <c r="F15" s="7" t="n"/>
      <c r="G15" s="8" t="n"/>
    </row>
    <row r="16">
      <c r="A16" s="13" t="inlineStr">
        <is>
          <t>5_90Day_Plan</t>
        </is>
      </c>
      <c r="B16" s="6" t="inlineStr">
        <is>
          <t>Pain Moment, kế hoạch 90 ngày, checklist Evidence Pack.</t>
        </is>
      </c>
      <c r="C16" s="7" t="n"/>
      <c r="D16" s="7" t="n"/>
      <c r="E16" s="7" t="n"/>
      <c r="F16" s="7" t="n"/>
      <c r="G16" s="8" t="n"/>
    </row>
    <row r="17">
      <c r="A17" s="13" t="inlineStr">
        <is>
          <t>6_Benchmarks</t>
        </is>
      </c>
      <c r="B17" s="6" t="inlineStr">
        <is>
          <t>Bảng giá tham chiếu CÓ NGUỒN và NGÀY KIỂM TRA — chỉ đọc.</t>
        </is>
      </c>
      <c r="C17" s="7" t="n"/>
      <c r="D17" s="7" t="n"/>
      <c r="E17" s="7" t="n"/>
      <c r="F17" s="7" t="n"/>
      <c r="G17" s="8" t="n"/>
    </row>
    <row r="19" ht="18" customHeight="1">
      <c r="A19" s="3" t="inlineStr">
        <is>
          <t>Quy ước mô hình (đọc trước khi chạm vào con số nào)</t>
        </is>
      </c>
      <c r="B19" s="4" t="n"/>
      <c r="C19" s="4" t="n"/>
      <c r="D19" s="4" t="n"/>
      <c r="E19" s="4" t="n"/>
      <c r="F19" s="4" t="n"/>
      <c r="G19" s="4" t="n"/>
    </row>
    <row r="20" ht="15.5" customHeight="1">
      <c r="A20" s="6" t="inlineStr">
        <is>
          <t>Mẫu số của Cost/Job là số job HOÀN THÀNH (job AI tự làm xong), không phải job thử.</t>
        </is>
      </c>
      <c r="B20" s="7" t="n"/>
      <c r="C20" s="7" t="n"/>
      <c r="D20" s="7" t="n"/>
      <c r="E20" s="7" t="n"/>
      <c r="F20" s="7" t="n"/>
      <c r="G20" s="8" t="n"/>
    </row>
    <row r="21" ht="29" customHeight="1">
      <c r="A21" s="6" t="inlineStr">
        <is>
          <t>Cost/Job "headline" = COGS (API + Infra + HITL + Retry). Overhead (thành phần thứ 5) được tính riêng và hiện ở dòng "có overhead", theo gợi ý của đề: "thường để riêng khi tính GM".</t>
        </is>
      </c>
      <c r="B21" s="7" t="n"/>
      <c r="C21" s="7" t="n"/>
      <c r="D21" s="7" t="n"/>
      <c r="E21" s="7" t="n"/>
      <c r="F21" s="7" t="n"/>
      <c r="G21" s="8" t="n"/>
    </row>
    <row r="22" ht="15.5" customHeight="1">
      <c r="A22" s="6" t="inlineStr">
        <is>
          <t>Biến thể HITL đang chọn: A (khách tự xử lý ca escalate). Biến thể B (bạn gánh) được tính song song để so sánh. Đổi ở 1_Cost_Job ô "Biến thể HITL".</t>
        </is>
      </c>
      <c r="B22" s="7" t="n"/>
      <c r="C22" s="7" t="n"/>
      <c r="D22" s="7" t="n"/>
      <c r="E22" s="7" t="n"/>
      <c r="F22" s="7" t="n"/>
      <c r="G22" s="8" t="n"/>
    </row>
    <row r="23" ht="15.5" customHeight="1">
      <c r="A23" s="6" t="inlineStr">
        <is>
          <t>Giá API lấy từ 6_Benchmarks, ngày kiểm tra 13/10/2026. Không dùng giá khuyến mại nào trong base case.</t>
        </is>
      </c>
      <c r="B23" s="7" t="n"/>
      <c r="C23" s="7" t="n"/>
      <c r="D23" s="7" t="n"/>
      <c r="E23" s="7" t="n"/>
      <c r="F23" s="7" t="n"/>
      <c r="G23" s="8" t="n"/>
    </row>
    <row r="24" ht="15.5" customHeight="1">
      <c r="A24" s="6" t="inlineStr">
        <is>
          <t>Số liệu đầu vào đánh dấu "GIẢ ĐỊNH" / "ƯỚC TÍNH" là CHƯA ĐO. Mỗi con số trong One-Pager truy được về một ô ở đây.</t>
        </is>
      </c>
      <c r="B24" s="7" t="n"/>
      <c r="C24" s="7" t="n"/>
      <c r="D24" s="7" t="n"/>
      <c r="E24" s="7" t="n"/>
      <c r="F24" s="7" t="n"/>
      <c r="G24" s="8" t="n"/>
    </row>
    <row r="26" ht="18" customHeight="1">
      <c r="A26" s="3" t="inlineStr">
        <is>
          <t>Dashboard — 5 con số Trạm 3 + kênh Trạm 4</t>
        </is>
      </c>
      <c r="B26" s="4" t="n"/>
      <c r="C26" s="4" t="n"/>
      <c r="D26" s="4" t="n"/>
      <c r="E26" s="4" t="n"/>
      <c r="F26" s="4" t="n"/>
      <c r="G26" s="4" t="n"/>
    </row>
    <row r="27" ht="15.5" customHeight="1">
      <c r="A27" s="13" t="inlineStr">
        <is>
          <t>Cost/Job</t>
        </is>
      </c>
      <c r="B27" s="14">
        <f>'2_Pricing'!$B$96</f>
        <v>0.03787170779220779</v>
      </c>
      <c r="C27" s="15" t="inlineStr">
        <is>
          <t>$ / job</t>
        </is>
      </c>
      <c r="D27" s="16" t="inlineStr">
        <is>
          <t>2_Pricing mục "5 CON SỐ".</t>
        </is>
      </c>
      <c r="E27" s="7" t="n"/>
      <c r="F27" s="7" t="n"/>
      <c r="G27" s="8" t="n"/>
    </row>
    <row r="28" ht="15.5" customHeight="1">
      <c r="A28" s="13" t="inlineStr">
        <is>
          <t>Giá sàn (3 × Cost/Job)</t>
        </is>
      </c>
      <c r="B28" s="14">
        <f>'2_Pricing'!$B$97</f>
        <v>0.11361512337662337</v>
      </c>
      <c r="C28" s="15" t="inlineStr">
        <is>
          <t>$ / job</t>
        </is>
      </c>
      <c r="D28" s="16" t="inlineStr"/>
      <c r="E28" s="7" t="n"/>
      <c r="F28" s="7" t="n"/>
      <c r="G28" s="8" t="n"/>
    </row>
    <row r="29" ht="15.5" customHeight="1">
      <c r="A29" s="13" t="inlineStr">
        <is>
          <t>Giá bán đề xuất (hiệu dụng)</t>
        </is>
      </c>
      <c r="B29" s="14">
        <f>'2_Pricing'!$B$98</f>
        <v>0.12417582417582418</v>
      </c>
      <c r="C29" s="15" t="inlineStr">
        <is>
          <t>$ / job</t>
        </is>
      </c>
      <c r="D29" s="16" t="inlineStr"/>
      <c r="E29" s="7" t="n"/>
      <c r="F29" s="7" t="n"/>
      <c r="G29" s="8" t="n"/>
    </row>
    <row r="30" ht="15.5" customHeight="1">
      <c r="A30" s="13" t="inlineStr">
        <is>
          <t>Gross Margin</t>
        </is>
      </c>
      <c r="B30" s="17">
        <f>'2_Pricing'!$B$99</f>
        <v>0.6950154505229285</v>
      </c>
      <c r="C30" s="15" t="inlineStr">
        <is>
          <t>%</t>
        </is>
      </c>
      <c r="D30" s="16" t="inlineStr">
        <is>
          <t>Mục tiêu ≥ 60%.</t>
        </is>
      </c>
      <c r="E30" s="7" t="n"/>
      <c r="F30" s="7" t="n"/>
      <c r="G30" s="8" t="n"/>
    </row>
    <row r="31" ht="15.5" customHeight="1">
      <c r="A31" s="13" t="inlineStr">
        <is>
          <t>Breakeven containment</t>
        </is>
      </c>
      <c r="B31" s="17">
        <f>'2_Pricing'!$B$100</f>
        <v>0.5746102958015268</v>
      </c>
      <c r="C31" s="15" t="inlineStr">
        <is>
          <t>%</t>
        </is>
      </c>
      <c r="D31" s="16" t="inlineStr"/>
      <c r="E31" s="7" t="n"/>
      <c r="F31" s="7" t="n"/>
      <c r="G31" s="8" t="n"/>
    </row>
    <row r="32" ht="15.5" customHeight="1">
      <c r="A32" s="18" t="inlineStr">
        <is>
          <t xml:space="preserve">   so với eval hiện tại (ước tính)</t>
        </is>
      </c>
      <c r="B32" s="19">
        <f>'2_Pricing'!$B$101</f>
        <v>0.8</v>
      </c>
      <c r="C32" s="15" t="inlineStr">
        <is>
          <t>%</t>
        </is>
      </c>
      <c r="D32" s="16" t="inlineStr"/>
      <c r="E32" s="7" t="n"/>
      <c r="F32" s="7" t="n"/>
      <c r="G32" s="8" t="n"/>
    </row>
    <row r="33" ht="15.5" customHeight="1">
      <c r="A33" s="18" t="inlineStr">
        <is>
          <t>Ngân sách CAC / khách</t>
        </is>
      </c>
      <c r="B33" s="20">
        <f>'4_Channel_Fit'!$B$46</f>
        <v>538.5376862337663</v>
      </c>
      <c r="C33" s="15" t="inlineStr">
        <is>
          <t>$</t>
        </is>
      </c>
      <c r="D33" s="16" t="inlineStr"/>
      <c r="E33" s="7" t="n"/>
      <c r="F33" s="7" t="n"/>
      <c r="G33" s="8" t="n"/>
    </row>
    <row r="34" ht="15.5" customHeight="1">
      <c r="A34" s="18" t="inlineStr">
        <is>
          <t>Số deal / AE / ngày</t>
        </is>
      </c>
      <c r="B34" s="21">
        <f>'4_Channel_Fit'!$B$47</f>
        <v>2.5811209439528024</v>
      </c>
      <c r="C34" s="15" t="inlineStr">
        <is>
          <t>deal</t>
        </is>
      </c>
      <c r="D34" s="16" t="inlineStr"/>
      <c r="E34" s="7" t="n"/>
      <c r="F34" s="7" t="n"/>
      <c r="G34" s="8" t="n"/>
    </row>
    <row r="35" ht="29" customHeight="1">
      <c r="A35" s="18" t="inlineStr">
        <is>
          <t>Kênh đã chốt</t>
        </is>
      </c>
      <c r="B35" s="22" t="str">
        <f>'4_Channel_Fit'!$B$38</f>
        <v>PLG</v>
      </c>
      <c r="C35" s="7" t="n"/>
      <c r="D35" s="7" t="n"/>
      <c r="E35" s="7" t="n"/>
      <c r="F35" s="7" t="n"/>
      <c r="G35" s="8" t="n"/>
    </row>
    <row r="37" ht="18" customHeight="1">
      <c r="A37" s="3" t="inlineStr">
        <is>
          <t>Final Checklist trước khi nộp (§5.8) — ô tự kiểm</t>
        </is>
      </c>
      <c r="B37" s="4" t="n"/>
      <c r="C37" s="4" t="n"/>
      <c r="D37" s="4" t="n"/>
      <c r="E37" s="4" t="n"/>
      <c r="F37" s="4" t="n"/>
      <c r="G37" s="4" t="n"/>
    </row>
    <row r="38" ht="29" customHeight="1">
      <c r="A38" s="18" t="inlineStr">
        <is>
          <t>1. Tab 1 — đủ 5 thành phần chi phí, không ô nào trống vô lý</t>
        </is>
      </c>
      <c r="B38" s="22" t="str">
        <f>'1_Cost_Job'!$B$99</f>
        <v>✓ Đủ API, Infra, HITL, Retry, Overhead đều &gt; 0. Ô = 0 duy nhất: Speech (không có thoại) và escalation Biến thể A (khách tự xử lý), cả hai có lý do ghi chú.</v>
      </c>
      <c r="C38" s="7" t="n"/>
      <c r="D38" s="7" t="n"/>
      <c r="E38" s="7" t="n"/>
      <c r="F38" s="7" t="n"/>
      <c r="G38" s="8" t="n"/>
    </row>
    <row r="39" ht="29" customHeight="1">
      <c r="A39" s="18" t="inlineStr">
        <is>
          <t>2. Tab 1 — mẫu số là JOB HOÀN THÀNH</t>
        </is>
      </c>
      <c r="B39" s="22" t="str">
        <f>IF(ABS('1_Cost_Job'!$B$96/'1_Cost_Job'!$B$23-'1_Cost_Job'!$B$94)&lt;0.0000001,"✓ Cost/Job = COGS / số job hoàn thành","✗ Mẫu số sai")</f>
        <v>✓ Cost/Job = COGS / số job hoàn thành</v>
      </c>
      <c r="C39" s="7" t="n"/>
      <c r="D39" s="7" t="n"/>
      <c r="E39" s="7" t="n"/>
      <c r="F39" s="7" t="n"/>
      <c r="G39" s="8" t="n"/>
    </row>
    <row r="40" ht="29" customHeight="1">
      <c r="A40" s="18" t="inlineStr">
        <is>
          <t>3. Tab 2 — giá bán ≥ 3 × Cost/Job và GM ≥ 60%</t>
        </is>
      </c>
      <c r="B40" s="22" t="str">
        <f>IF(AND('2_Pricing'!$B$38&gt;='2_Pricing'!$B$7,'2_Pricing'!$B$48&gt;='2_Pricing'!$B$45,'2_Pricing'!$B$48&lt;=0.85),"✓ Giá ≥ giá sàn và GM trong vùng 60–85%","✗ Chưa đạt: xem 2_Pricing mục A và D")</f>
        <v>✓ Giá ≥ giá sàn và GM trong vùng 60–85%</v>
      </c>
      <c r="C40" s="7" t="n"/>
      <c r="D40" s="7" t="n"/>
      <c r="E40" s="7" t="n"/>
      <c r="F40" s="7" t="n"/>
      <c r="G40" s="8" t="n"/>
    </row>
    <row r="41" ht="29" customHeight="1">
      <c r="A41" s="18" t="inlineStr">
        <is>
          <t>4. Tab 2 — Breakeven containment đã tính, đã so với eval</t>
        </is>
      </c>
      <c r="B41" s="22" t="str">
        <f>IF(AND(ISNUMBER('2_Pricing'!$B$64),ISNUMBER('2_Pricing'!$B$65)),"✓ Breakeven "&amp;ROUND('2_Pricing'!$B$64*100,1)&amp;"% so với "&amp;ROUND('2_Pricing'!$B$65*100,1)&amp;"% (eval hiện tại là ước tính, chưa đo)","✗ Thiếu")</f>
        <v>✓ Breakeven 57.5% so với 80% (eval hiện tại là ước tính, chưa đo)</v>
      </c>
      <c r="C41" s="7" t="n"/>
      <c r="D41" s="7" t="n"/>
      <c r="E41" s="7" t="n"/>
      <c r="F41" s="7" t="n"/>
      <c r="G41" s="8" t="n"/>
    </row>
    <row r="42" ht="29" customHeight="1">
      <c r="A42" s="18" t="inlineStr">
        <is>
          <t>5. Tab 3 — Value Metric + Decision Note + 2 benchmark có link</t>
        </is>
      </c>
      <c r="B42" s="22" t="str">
        <f>IF(AND(LEN('3_Value_Metric'!$B$38)&gt;0,LEFT('3_Value_Metric'!$B$45,4)="http",LEFT('3_Value_Metric'!$B$48,4)="http"),"✓ Có Value Metric, Decision Note và 2 link benchmark","✗ Thiếu")</f>
        <v>✓ Có Value Metric, Decision Note và 2 link benchmark</v>
      </c>
      <c r="C42" s="7" t="n"/>
      <c r="D42" s="7" t="n"/>
      <c r="E42" s="7" t="n"/>
      <c r="F42" s="7" t="n"/>
      <c r="G42" s="8" t="n"/>
    </row>
    <row r="43" ht="29" customHeight="1">
      <c r="A43" s="18" t="inlineStr">
        <is>
          <t>6. Tab 4 — Ngân sách CAC, deal/AE/ngày, 1 kênh duy nhất</t>
        </is>
      </c>
      <c r="B43" s="22" t="str">
        <f>IF(AND(ISNUMBER('4_Channel_Fit'!$B$9),ISNUMBER('4_Channel_Fit'!$B$18),LEFT('4_Channel_Fit'!$B$38,4)&lt;&gt;"HÒA"),"✓ Đã chốt đúng 1 kênh: "&amp;'4_Channel_Fit'!$B$38,"✗ Chưa chốt 1 kênh")</f>
        <v>✓ Đã chốt đúng 1 kênh: PLG</v>
      </c>
      <c r="C43" s="7" t="n"/>
      <c r="D43" s="7" t="n"/>
      <c r="E43" s="7" t="n"/>
      <c r="F43" s="7" t="n"/>
      <c r="G43" s="8" t="n"/>
    </row>
    <row r="44" ht="29" customHeight="1">
      <c r="A44" s="18" t="inlineStr">
        <is>
          <t>7. Tab 5 — 90-day plan có số; Evidence Pack có deadline</t>
        </is>
      </c>
      <c r="B44" s="22" t="str">
        <f>IF(AND(ISNUMBER('5_90Day_Plan'!$D$36),ISNUMBER('5_90Day_Plan'!$D$37),ISNUMBER('5_90Day_Plan'!$D$38),ISNUMBER('5_90Day_Plan'!$B$19)),"✓ Plan có số; cả 3 tài sản Evidence Pack có deadline","✗ Thiếu số hoặc deadline")</f>
        <v>✓ Plan có số; cả 3 tài sản Evidence Pack có deadline</v>
      </c>
      <c r="C44" s="7" t="n"/>
      <c r="D44" s="7" t="n"/>
      <c r="E44" s="7" t="n"/>
      <c r="F44" s="7" t="n"/>
      <c r="G44" s="8" t="n"/>
    </row>
    <row r="45" ht="29" customHeight="1">
      <c r="A45" s="18" t="inlineStr">
        <is>
          <t>8. Ghi ngày kiểm tra giá API ở 6_Benchmarks</t>
        </is>
      </c>
      <c r="B45" s="22" t="str">
        <f>IF(ISNUMBER('1_Cost_Job'!$B$6),"✓ Ngày kiểm tra giá: 13/10/2026 (cột H, 6_Benchmarks)","✗ Thiếu ngày")</f>
        <v>✓ Ngày kiểm tra giá: 13/10/2026 (cột H, 6_Benchmarks)</v>
      </c>
      <c r="C45" s="7" t="n"/>
      <c r="D45" s="7" t="n"/>
      <c r="E45" s="7" t="n"/>
      <c r="F45" s="7" t="n"/>
      <c r="G45" s="8" t="n"/>
    </row>
    <row r="46" ht="15.5" customHeight="1">
      <c r="A46" s="18" t="inlineStr">
        <is>
          <t>9. One-Pager — 3 khối, mọi số khớp Excel</t>
        </is>
      </c>
      <c r="B46" s="22" t="inlineStr">
        <is>
          <t>~ Kiểm tra thủ công: One-Pager trích số kèm tham chiếu ô [Tab!Ô]; đối chiếu lại nếu bạn đổi giả định.</t>
        </is>
      </c>
      <c r="C46" s="7" t="n"/>
      <c r="D46" s="7" t="n"/>
      <c r="E46" s="7" t="n"/>
      <c r="F46" s="7" t="n"/>
      <c r="G46" s="8" t="n"/>
    </row>
    <row r="47" ht="15.5" customHeight="1">
      <c r="A47" s="18" t="inlineStr">
        <is>
          <t>10. Đã chạy ≥ 2 prompt §4.7 và ghi accept/reject</t>
        </is>
      </c>
      <c r="B47" s="22" t="inlineStr">
        <is>
          <t>✓ Prompt_Log.md: 4.7.1, 4.7.2, 4.7.3 (bản nháp của Claude — bạn phải viết lại bằng lời của mình).</t>
        </is>
      </c>
      <c r="C47" s="7" t="n"/>
      <c r="D47" s="7" t="n"/>
      <c r="E47" s="7" t="n"/>
      <c r="F47" s="7" t="n"/>
      <c r="G47" s="8" t="n"/>
    </row>
  </sheetData>
  <mergeCells count="36">
    <mergeCell ref="B39:G39"/>
    <mergeCell ref="B42:G42"/>
    <mergeCell ref="B14:G14"/>
    <mergeCell ref="A22:G22"/>
    <mergeCell ref="B17:G17"/>
    <mergeCell ref="B8:G8"/>
    <mergeCell ref="A20:G20"/>
    <mergeCell ref="D30:G30"/>
    <mergeCell ref="D33:G33"/>
    <mergeCell ref="B13:G13"/>
    <mergeCell ref="D29:G29"/>
    <mergeCell ref="B44:G44"/>
    <mergeCell ref="B38:G38"/>
    <mergeCell ref="B9:G9"/>
    <mergeCell ref="A24:G24"/>
    <mergeCell ref="B40:G40"/>
    <mergeCell ref="D34:G34"/>
    <mergeCell ref="B15:G15"/>
    <mergeCell ref="B6:G6"/>
    <mergeCell ref="D31:G31"/>
    <mergeCell ref="B5:G5"/>
    <mergeCell ref="B45:G45"/>
    <mergeCell ref="B41:G41"/>
    <mergeCell ref="B35:G35"/>
    <mergeCell ref="D27:G27"/>
    <mergeCell ref="B7:G7"/>
    <mergeCell ref="D32:G32"/>
    <mergeCell ref="B47:G47"/>
    <mergeCell ref="B16:G16"/>
    <mergeCell ref="B46:G46"/>
    <mergeCell ref="A21:G21"/>
    <mergeCell ref="A2:G2"/>
    <mergeCell ref="B43:G43"/>
    <mergeCell ref="B12:G12"/>
    <mergeCell ref="D28:G28"/>
    <mergeCell ref="A23:G23"/>
  </mergeCells>
  <conditionalFormatting sqref="B30">
    <cfRule type="expression" priority="1" dxfId="0" stopIfTrue="1">
      <formula>AND(ISNUMBER(B30),B30&gt;0.85)</formula>
    </cfRule>
    <cfRule type="expression" priority="2" dxfId="1" stopIfTrue="1">
      <formula>AND(ISNUMBER(B30),B30&gt;=0.6)</formula>
    </cfRule>
    <cfRule type="expression" priority="3" dxfId="2" stopIfTrue="1">
      <formula>AND(ISNUMBER(B30),B30&gt;=0.5)</formula>
    </cfRule>
    <cfRule type="expression" priority="4" dxfId="3" stopIfTrue="1">
      <formula>AND(ISNUMBER(B30),B30&lt;0.5)</formula>
    </cfRule>
  </conditionalFormatting>
  <conditionalFormatting sqref="B38:G47">
    <cfRule type="expression" priority="5" dxfId="1" stopIfTrue="1">
      <formula>LEFT(B38,1)="✓"</formula>
    </cfRule>
    <cfRule type="expression" priority="6" dxfId="3" stopIfTrue="1">
      <formula>LEFT(B38,1)="✗"</formula>
    </cfRule>
    <cfRule type="expression" priority="7" dxfId="2" stopIfTrue="1">
      <formula>LEFT(B38,1)="~"</formula>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1" summaryRight="1"/>
    <pageSetUpPr fitToPage="1"/>
  </sheetPr>
  <dimension ref="A1:G99"/>
  <sheetViews>
    <sheetView showGridLines="0" workbookViewId="0">
      <selection activeCell="A1" sqref="A1"/>
    </sheetView>
  </sheetViews>
  <sheetFormatPr baseColWidth="8" defaultRowHeight="15"/>
  <cols>
    <col width="52" customWidth="1" min="1" max="1"/>
    <col width="17" customWidth="1" min="2" max="2"/>
    <col width="13" customWidth="1" min="3" max="3"/>
    <col width="17" customWidth="1" min="4" max="4"/>
    <col width="17" customWidth="1" min="5" max="5"/>
    <col width="17" customWidth="1" min="6" max="6"/>
    <col width="40" customWidth="1" min="7" max="7"/>
  </cols>
  <sheetData>
    <row r="1">
      <c r="A1" s="1" t="inlineStr">
        <is>
          <t>1_Cost_Job — Cost/Job đủ 5 thành phần (tab nặng nhất)</t>
        </is>
      </c>
    </row>
    <row r="2" ht="27" customHeight="1">
      <c r="A2" s="2" t="inlineStr">
        <is>
          <t>SẢN PHẨM GIẢ ĐỊNH (placeholder) — "HoaDonAI": AI nhập liệu và đối chiếu hóa đơn đầu vào cho SME Việt Nam. Thay các ô VÀNG bằng số liệu sản phẩm thật của bạn; mọi ô xám tự tính lại.</t>
        </is>
      </c>
    </row>
    <row r="4" ht="18" customHeight="1">
      <c r="A4" s="3" t="inlineStr">
        <is>
          <t>S0. Tham số chung</t>
        </is>
      </c>
      <c r="B4" s="4" t="n"/>
      <c r="C4" s="4" t="n"/>
      <c r="D4" s="4" t="n"/>
      <c r="E4" s="4" t="n"/>
      <c r="F4" s="4" t="n"/>
      <c r="G4" s="4" t="n"/>
    </row>
    <row r="5" ht="29" customHeight="1">
      <c r="A5" s="18" t="inlineStr">
        <is>
          <t>Tỷ giá</t>
        </is>
      </c>
      <c r="B5" s="23" t="n">
        <v>26250</v>
      </c>
      <c r="C5" s="15" t="inlineStr">
        <is>
          <t>VND / USD</t>
        </is>
      </c>
      <c r="D5" s="16" t="inlineStr">
        <is>
          <t>Trung bình 36 ngân hàng 06/07/2026 = 26.252 (webgia.com). Chưa có tỷ giá tháng 10/2026: cập nhật theo Vietcombank ngày nộp.</t>
        </is>
      </c>
      <c r="E5" s="7" t="n"/>
      <c r="F5" s="7" t="n"/>
      <c r="G5" s="8" t="n"/>
    </row>
    <row r="6" ht="15.5" customHeight="1">
      <c r="A6" s="18" t="inlineStr">
        <is>
          <t>Ngày kiểm tra giá API</t>
        </is>
      </c>
      <c r="B6" s="24" t="n">
        <v>46308</v>
      </c>
      <c r="C6" s="15" t="inlineStr">
        <is>
          <t>ngày</t>
        </is>
      </c>
      <c r="D6" s="16" t="inlineStr">
        <is>
          <t>Đã mở trang giá Anthropic và các vendor ngày này (xem 6_Benchmarks, cột "Ngày kiểm tra").</t>
        </is>
      </c>
      <c r="E6" s="7" t="n"/>
      <c r="F6" s="7" t="n"/>
      <c r="G6" s="8" t="n"/>
    </row>
    <row r="7" ht="29" customHeight="1">
      <c r="A7" s="18" t="inlineStr">
        <is>
          <t>Model LLM đang dùng</t>
        </is>
      </c>
      <c r="B7" s="25" t="inlineStr">
        <is>
          <t>Claude Sonnet 5.5</t>
        </is>
      </c>
      <c r="C7" s="15" t="inlineStr">
        <is>
          <t>chọn</t>
        </is>
      </c>
      <c r="D7" s="16" t="inlineStr">
        <is>
          <t>Chọn từ danh sách ở 6_Benchmarks. Base case dùng Sonnet 5.5 (thận trọng cho bài toán kế toán); Haiku 5.5 là đòn bẩy giảm chi phí, xem bảng stress ở 2_Pricing.</t>
        </is>
      </c>
      <c r="E7" s="7" t="n"/>
      <c r="F7" s="7" t="n"/>
      <c r="G7" s="8" t="n"/>
    </row>
    <row r="8" ht="29" customHeight="1">
      <c r="A8" s="18" t="inlineStr">
        <is>
          <t>Biến thể HITL</t>
        </is>
      </c>
      <c r="B8" s="25" t="inlineStr">
        <is>
          <t>A</t>
        </is>
      </c>
      <c r="C8" s="15" t="inlineStr">
        <is>
          <t>A / B</t>
        </is>
      </c>
      <c r="D8" s="16" t="inlineStr">
        <is>
          <t>A = khách tự xử lý ca AI không chắc → không vào COGS của bạn. B = bạn giao kết quả, phải tự xử lý → vào thẳng COGS. Lý do chọn A ở S7.</t>
        </is>
      </c>
      <c r="E8" s="7" t="n"/>
      <c r="F8" s="7" t="n"/>
      <c r="G8" s="8" t="n"/>
    </row>
    <row r="10" ht="18" customHeight="1">
      <c r="A10" s="3" t="inlineStr">
        <is>
          <t>S1. Định nghĩa Job (1 câu — phải là thứ KHÁCH coi là giá trị)</t>
        </is>
      </c>
      <c r="B10" s="4" t="n"/>
      <c r="C10" s="4" t="n"/>
      <c r="D10" s="4" t="n"/>
      <c r="E10" s="4" t="n"/>
      <c r="F10" s="4" t="n"/>
      <c r="G10" s="4" t="n"/>
    </row>
    <row r="11" ht="29" customHeight="1">
      <c r="A11" s="18" t="inlineStr">
        <is>
          <t>1 job =</t>
        </is>
      </c>
      <c r="B11" s="25" t="inlineStr">
        <is>
          <t>1 hóa đơn đầu vào được đọc, hạch toán đề xuất và đối chiếu xong, và kế toán của khách xác nhận hoặc không sửa lại trong 7 ngày.</t>
        </is>
      </c>
      <c r="C11" s="7" t="n"/>
      <c r="D11" s="7" t="n"/>
      <c r="E11" s="7" t="n"/>
      <c r="F11" s="7" t="n"/>
      <c r="G11" s="8" t="n"/>
    </row>
    <row r="12" ht="29" customHeight="1">
      <c r="A12" s="18" t="inlineStr">
        <is>
          <t>Ngân sách khách lấy tiền từ</t>
        </is>
      </c>
      <c r="B12" s="25" t="inlineStr">
        <is>
          <t>Nhân sự / Vận hành: chi phí nhân viên kế toán nhập liệu hoặc dịch vụ kế toán thuê ngoài (không phải ngân sách phần mềm).</t>
        </is>
      </c>
      <c r="C12" s="7" t="n"/>
      <c r="D12" s="7" t="n"/>
      <c r="E12" s="7" t="n"/>
      <c r="F12" s="7" t="n"/>
      <c r="G12" s="8" t="n"/>
    </row>
    <row r="13" ht="15.5" customHeight="1">
      <c r="A13" s="18" t="inlineStr">
        <is>
          <t>Ai ký duyệt</t>
        </is>
      </c>
      <c r="B13" s="25" t="inlineStr">
        <is>
          <t>Chủ doanh nghiệp SME hoặc kế toán trưởng.</t>
        </is>
      </c>
      <c r="C13" s="7" t="n"/>
      <c r="D13" s="7" t="n"/>
      <c r="E13" s="7" t="n"/>
      <c r="F13" s="7" t="n"/>
      <c r="G13" s="8" t="n"/>
    </row>
    <row r="14" ht="29" customHeight="1">
      <c r="A14" s="18" t="inlineStr">
        <is>
          <t>Phiên bản B — thay công việc đang có người làm (CHỌN)</t>
        </is>
      </c>
      <c r="B14" s="25" t="inlineStr">
        <is>
          <t>Thay công việc nhập liệu và đối chiếu hóa đơn đầu vào của kế toán SME: mỗi hóa đơn được hạch toán đề xuất, kế toán chỉ duyệt các ca AI không chắc.</t>
        </is>
      </c>
      <c r="C14" s="7" t="n"/>
      <c r="D14" s="7" t="n"/>
      <c r="E14" s="7" t="n"/>
      <c r="F14" s="7" t="n"/>
      <c r="G14" s="8" t="n"/>
    </row>
    <row r="15" ht="26" customHeight="1">
      <c r="A15" s="26" t="inlineStr"/>
      <c r="B15" s="27" t="inlineStr">
        <is>
          <t>Phiên bản A (bị loại): "Nền tảng AI cho kế toán" → rơi vào ngân sách phần mềm, khách hỏi "tôi có cần thêm một nền tảng nữa không?".</t>
        </is>
      </c>
    </row>
    <row r="16" ht="15.5" customHeight="1">
      <c r="A16" s="18" t="inlineStr">
        <is>
          <t>Kiểm tra 1: khách coi job này là giá trị?</t>
        </is>
      </c>
      <c r="B16" s="25" t="inlineStr">
        <is>
          <t>Có</t>
        </is>
      </c>
      <c r="C16" s="15" t="inlineStr"/>
      <c r="D16" s="16" t="inlineStr">
        <is>
          <t>Hóa đơn xử lý xong là đơn vị công việc khách đang trả lương cho người làm.</t>
        </is>
      </c>
      <c r="E16" s="7" t="n"/>
      <c r="F16" s="7" t="n"/>
      <c r="G16" s="8" t="n"/>
    </row>
    <row r="17" ht="15.5" customHeight="1">
      <c r="A17" s="18" t="inlineStr">
        <is>
          <t>Kiểm tra 2: đếm được tự động?</t>
        </is>
      </c>
      <c r="B17" s="25" t="inlineStr">
        <is>
          <t>Có</t>
        </is>
      </c>
      <c r="C17" s="15" t="inlineStr"/>
      <c r="D17" s="16" t="inlineStr">
        <is>
          <t>Mỗi job có ID và trạng thái cuối (completed / escalated) ghi log tự động.</t>
        </is>
      </c>
      <c r="E17" s="7" t="n"/>
      <c r="F17" s="7" t="n"/>
      <c r="G17" s="8" t="n"/>
    </row>
    <row r="18" ht="15.5" customHeight="1">
      <c r="A18" s="18" t="inlineStr">
        <is>
          <t>Kiểm tra 3: chặt như Intercom?</t>
        </is>
      </c>
      <c r="B18" s="25" t="inlineStr">
        <is>
          <t>Có</t>
        </is>
      </c>
      <c r="C18" s="15" t="inlineStr"/>
      <c r="D18" s="16" t="inlineStr">
        <is>
          <t>Giống định nghĩa resolution của Intercom Fin: "khách xác nhận xong hoặc không hỏi lại".</t>
        </is>
      </c>
      <c r="E18" s="7" t="n"/>
      <c r="F18" s="7" t="n"/>
      <c r="G18" s="8" t="n"/>
    </row>
    <row r="20" ht="18" customHeight="1">
      <c r="A20" s="3" t="inlineStr">
        <is>
          <t>S2. Khối lượng</t>
        </is>
      </c>
      <c r="B20" s="4" t="n"/>
      <c r="C20" s="4" t="n"/>
      <c r="D20" s="4" t="n"/>
      <c r="E20" s="4" t="n"/>
      <c r="F20" s="4" t="n"/>
      <c r="G20" s="4" t="n"/>
    </row>
    <row r="21" ht="15.5" customHeight="1">
      <c r="A21" s="18" t="inlineStr">
        <is>
          <t>Số job THỬ / tháng</t>
        </is>
      </c>
      <c r="B21" s="23" t="n">
        <v>10000</v>
      </c>
      <c r="C21" s="15" t="inlineStr">
        <is>
          <t>job</t>
        </is>
      </c>
      <c r="D21" s="16" t="inlineStr">
        <is>
          <t>GIẢ ĐỊNH: ~15 SME × ~650 hóa đơn/tháng. Phải khớp mục tiêu tháng 3 ở 5_90Day_Plan.</t>
        </is>
      </c>
      <c r="E21" s="7" t="n"/>
      <c r="F21" s="7" t="n"/>
      <c r="G21" s="8" t="n"/>
    </row>
    <row r="22" ht="29" customHeight="1">
      <c r="A22" s="18" t="inlineStr">
        <is>
          <t>Containment rate</t>
        </is>
      </c>
      <c r="B22" s="28" t="n">
        <v>0.8</v>
      </c>
      <c r="C22" s="15" t="inlineStr">
        <is>
          <t>%</t>
        </is>
      </c>
      <c r="D22" s="16" t="inlineStr">
        <is>
          <t>ƯỚC TÍNH THÔ, CHƯA ĐO — sẽ thay bằng kết quả eval (Evidence Pack, 5_90Day_Plan, deadline 10/11/2026). Containment = % job AI tự làm xong, không cần người.</t>
        </is>
      </c>
      <c r="E22" s="7" t="n"/>
      <c r="F22" s="7" t="n"/>
      <c r="G22" s="8" t="n"/>
    </row>
    <row r="23" ht="15.5" customHeight="1">
      <c r="A23" s="18" t="inlineStr">
        <is>
          <t>Số job HOÀN THÀNH / tháng</t>
        </is>
      </c>
      <c r="B23" s="29">
        <f>$B$21*$B$22</f>
        <v>8000.0</v>
      </c>
      <c r="C23" s="15" t="inlineStr">
        <is>
          <t>job</t>
        </is>
      </c>
      <c r="D23" s="16" t="inlineStr">
        <is>
          <t>MẪU SỐ của Cost/Job. Không phải số job thử.</t>
        </is>
      </c>
      <c r="E23" s="7" t="n"/>
      <c r="F23" s="7" t="n"/>
      <c r="G23" s="8" t="n"/>
    </row>
    <row r="24" ht="15.5" customHeight="1">
      <c r="A24" s="18" t="inlineStr">
        <is>
          <t>Số job chuyển sang người (escalate) / tháng</t>
        </is>
      </c>
      <c r="B24" s="29">
        <f>$B$21-$B$23</f>
        <v>2000.0</v>
      </c>
      <c r="C24" s="15" t="inlineStr">
        <is>
          <t>job</t>
        </is>
      </c>
      <c r="D24" s="16" t="inlineStr"/>
      <c r="E24" s="7" t="n"/>
      <c r="F24" s="7" t="n"/>
      <c r="G24" s="8" t="n"/>
    </row>
    <row r="26" ht="18" customHeight="1">
      <c r="A26" s="3" t="inlineStr">
        <is>
          <t>S3. LLM — tách phần cache được và phần fresh</t>
        </is>
      </c>
      <c r="B26" s="4" t="n"/>
      <c r="C26" s="4" t="n"/>
      <c r="D26" s="4" t="n"/>
      <c r="E26" s="4" t="n"/>
      <c r="F26" s="4" t="n"/>
      <c r="G26" s="4" t="n"/>
    </row>
    <row r="27" ht="15.5" customHeight="1">
      <c r="A27" s="18" t="inlineStr">
        <is>
          <t>Giá input</t>
        </is>
      </c>
      <c r="B27" s="30">
        <f>INDEX('6_Benchmarks'!$B$6:$B$12,MATCH($B$7,'6_Benchmarks'!$A$6:$A$12,0))</f>
        <v>2</v>
      </c>
      <c r="C27" s="15" t="inlineStr">
        <is>
          <t>$ / 1M token</t>
        </is>
      </c>
      <c r="D27" s="16" t="inlineStr">
        <is>
          <t>Tra từ 6_Benchmarks theo model đã chọn.</t>
        </is>
      </c>
      <c r="E27" s="7" t="n"/>
      <c r="F27" s="7" t="n"/>
      <c r="G27" s="8" t="n"/>
    </row>
    <row r="28" ht="15.5" customHeight="1">
      <c r="A28" s="18" t="inlineStr">
        <is>
          <t>Giá cache write (5 phút)</t>
        </is>
      </c>
      <c r="B28" s="30">
        <f>INDEX('6_Benchmarks'!$C$6:$C$12,MATCH($B$7,'6_Benchmarks'!$A$6:$A$12,0))</f>
        <v>2.5</v>
      </c>
      <c r="C28" s="15" t="inlineStr">
        <is>
          <t>$ / 1M token</t>
        </is>
      </c>
      <c r="D28" s="16" t="inlineStr"/>
      <c r="E28" s="7" t="n"/>
      <c r="F28" s="7" t="n"/>
      <c r="G28" s="8" t="n"/>
    </row>
    <row r="29" ht="15.5" customHeight="1">
      <c r="A29" s="18" t="inlineStr">
        <is>
          <t>Giá cache read</t>
        </is>
      </c>
      <c r="B29" s="30">
        <f>INDEX('6_Benchmarks'!$D$6:$D$12,MATCH($B$7,'6_Benchmarks'!$A$6:$A$12,0))</f>
        <v>0.1</v>
      </c>
      <c r="C29" s="15" t="inlineStr">
        <is>
          <t>$ / 1M token</t>
        </is>
      </c>
      <c r="D29" s="16" t="inlineStr"/>
      <c r="E29" s="7" t="n"/>
      <c r="F29" s="7" t="n"/>
      <c r="G29" s="8" t="n"/>
    </row>
    <row r="30" ht="15.5" customHeight="1">
      <c r="A30" s="18" t="inlineStr">
        <is>
          <t>Giá output</t>
        </is>
      </c>
      <c r="B30" s="30">
        <f>INDEX('6_Benchmarks'!$E$6:$E$12,MATCH($B$7,'6_Benchmarks'!$A$6:$A$12,0))</f>
        <v>10</v>
      </c>
      <c r="C30" s="15" t="inlineStr">
        <is>
          <t>$ / 1M token</t>
        </is>
      </c>
      <c r="D30" s="16" t="inlineStr"/>
      <c r="E30" s="7" t="n"/>
      <c r="F30" s="7" t="n"/>
      <c r="G30" s="8" t="n"/>
    </row>
    <row r="31" ht="15.5" customHeight="1">
      <c r="A31" s="18" t="inlineStr">
        <is>
          <t>Giảm giá Batch API</t>
        </is>
      </c>
      <c r="B31" s="28" t="n">
        <v>0.5</v>
      </c>
      <c r="C31" s="15" t="inlineStr">
        <is>
          <t>%</t>
        </is>
      </c>
      <c r="D31" s="16" t="inlineStr">
        <is>
          <t>Anthropic: Batch giảm 50% input và output (trang giá 13/10/2026).</t>
        </is>
      </c>
      <c r="E31" s="7" t="n"/>
      <c r="F31" s="7" t="n"/>
      <c r="G31" s="8" t="n"/>
    </row>
    <row r="32" ht="15.5" customHeight="1">
      <c r="A32" s="18" t="inlineStr">
        <is>
          <t>Số lượt gọi LLM / job</t>
        </is>
      </c>
      <c r="B32" s="31" t="n">
        <v>2</v>
      </c>
      <c r="C32" s="15" t="inlineStr">
        <is>
          <t>lượt</t>
        </is>
      </c>
      <c r="D32" s="16" t="inlineStr">
        <is>
          <t>Lượt 1: đọc/trích xuất hóa đơn. Lượt 2: hạch toán đề xuất + đối chiếu. GIẢ ĐỊNH.</t>
        </is>
      </c>
      <c r="E32" s="7" t="n"/>
      <c r="F32" s="7" t="n"/>
      <c r="G32" s="8" t="n"/>
    </row>
    <row r="33" ht="15.5" customHeight="1">
      <c r="A33" s="18" t="inlineStr">
        <is>
          <t>Token input CACHE được / lượt</t>
        </is>
      </c>
      <c r="B33" s="23" t="n">
        <v>5000</v>
      </c>
      <c r="C33" s="15" t="inlineStr">
        <is>
          <t>token</t>
        </is>
      </c>
      <c r="D33" s="16" t="inlineStr">
        <is>
          <t>System prompt + hệ thống tài khoản kế toán + few-shot. GIẢ ĐỊNH.</t>
        </is>
      </c>
      <c r="E33" s="7" t="n"/>
      <c r="F33" s="7" t="n"/>
      <c r="G33" s="8" t="n"/>
    </row>
    <row r="34" ht="15.5" customHeight="1">
      <c r="A34" s="18" t="inlineStr">
        <is>
          <t>Token input FRESH / lượt</t>
        </is>
      </c>
      <c r="B34" s="23" t="n">
        <v>1500</v>
      </c>
      <c r="C34" s="15" t="inlineStr">
        <is>
          <t>token</t>
        </is>
      </c>
      <c r="D34" s="16" t="inlineStr">
        <is>
          <t>Nội dung hóa đơn (XML nhẹ, scan/ảnh nặng hơn). GIẢ ĐỊNH, cần đo.</t>
        </is>
      </c>
      <c r="E34" s="7" t="n"/>
      <c r="F34" s="7" t="n"/>
      <c r="G34" s="8" t="n"/>
    </row>
    <row r="35" ht="15.5" customHeight="1">
      <c r="A35" s="18" t="inlineStr">
        <is>
          <t>Token output / lượt</t>
        </is>
      </c>
      <c r="B35" s="23" t="n">
        <v>400</v>
      </c>
      <c r="C35" s="15" t="inlineStr">
        <is>
          <t>token</t>
        </is>
      </c>
      <c r="D35" s="16" t="inlineStr">
        <is>
          <t>JSON: trường dữ liệu + tài khoản đề xuất + độ tin cậy. GIẢ ĐỊNH.</t>
        </is>
      </c>
      <c r="E35" s="7" t="n"/>
      <c r="F35" s="7" t="n"/>
      <c r="G35" s="8" t="n"/>
    </row>
    <row r="36" ht="29" customHeight="1">
      <c r="A36" s="18" t="inlineStr">
        <is>
          <t>Số job xử lý chung trong 1 batch (chia sẻ 1 lần ghi cache)</t>
        </is>
      </c>
      <c r="B36" s="23" t="n">
        <v>25</v>
      </c>
      <c r="C36" s="15" t="inlineStr">
        <is>
          <t>job</t>
        </is>
      </c>
      <c r="D36" s="16" t="inlineStr">
        <is>
          <t>Khách upload cả lô hóa đơn mỗi ngày → cache 5 phút còn "nóng". Nếu job rời rạc, cache hit thấp hơn: đây là giả định nhạy.</t>
        </is>
      </c>
      <c r="E36" s="7" t="n"/>
      <c r="F36" s="7" t="n"/>
      <c r="G36" s="8" t="n"/>
    </row>
    <row r="37" ht="15.5" customHeight="1">
      <c r="A37" s="18" t="inlineStr">
        <is>
          <t>Số lệnh gọi / batch</t>
        </is>
      </c>
      <c r="B37" s="29">
        <f>$B$32*$B$36</f>
        <v>50.0</v>
      </c>
      <c r="C37" s="15" t="inlineStr">
        <is>
          <t>lệnh</t>
        </is>
      </c>
      <c r="D37" s="16" t="inlineStr"/>
      <c r="E37" s="7" t="n"/>
      <c r="F37" s="7" t="n"/>
      <c r="G37" s="8" t="n"/>
    </row>
    <row r="38" ht="15.5" customHeight="1">
      <c r="A38" s="18" t="inlineStr">
        <is>
          <t>Chi phí phần cache / job</t>
        </is>
      </c>
      <c r="B38" s="32">
        <f>$B$33*($B$28+($B$37-1)*$B$29)/1000000/$B$36</f>
        <v>0.00148</v>
      </c>
      <c r="C38" s="15" t="inlineStr">
        <is>
          <t>$ / job</t>
        </is>
      </c>
      <c r="D38" s="16" t="inlineStr">
        <is>
          <t>1 lần cache write + (số lệnh − 1) lần cache read, chia cho số job trong batch.</t>
        </is>
      </c>
      <c r="E38" s="7" t="n"/>
      <c r="F38" s="7" t="n"/>
      <c r="G38" s="8" t="n"/>
    </row>
    <row r="39" ht="15.5" customHeight="1">
      <c r="A39" s="18" t="inlineStr">
        <is>
          <t>Chi phí input fresh / job</t>
        </is>
      </c>
      <c r="B39" s="32">
        <f>$B$32*$B$34*$B$27/1000000</f>
        <v>0.006</v>
      </c>
      <c r="C39" s="15" t="inlineStr">
        <is>
          <t>$ / job</t>
        </is>
      </c>
      <c r="D39" s="16" t="inlineStr"/>
      <c r="E39" s="7" t="n"/>
      <c r="F39" s="7" t="n"/>
      <c r="G39" s="8" t="n"/>
    </row>
    <row r="40" ht="15.5" customHeight="1">
      <c r="A40" s="18" t="inlineStr">
        <is>
          <t>Chi phí output / job</t>
        </is>
      </c>
      <c r="B40" s="32">
        <f>$B$32*$B$35*$B$30/1000000</f>
        <v>0.008</v>
      </c>
      <c r="C40" s="15" t="inlineStr">
        <is>
          <t>$ / job</t>
        </is>
      </c>
      <c r="D40" s="16" t="inlineStr"/>
      <c r="E40" s="7" t="n"/>
      <c r="F40" s="7" t="n"/>
      <c r="G40" s="8" t="n"/>
    </row>
    <row r="41" ht="15.5" customHeight="1">
      <c r="A41" s="13" t="inlineStr">
        <is>
          <t>Chi phí LLM / job (CÓ cache)</t>
        </is>
      </c>
      <c r="B41" s="14">
        <f>$B$38+$B$39+$B$40</f>
        <v>0.01548</v>
      </c>
      <c r="C41" s="15" t="inlineStr">
        <is>
          <t>$ / job</t>
        </is>
      </c>
      <c r="D41" s="16" t="inlineStr"/>
      <c r="E41" s="7" t="n"/>
      <c r="F41" s="7" t="n"/>
      <c r="G41" s="8" t="n"/>
    </row>
    <row r="42" ht="15.5" customHeight="1">
      <c r="A42" s="18" t="inlineStr">
        <is>
          <t>Chi phí LLM / job (KHÔNG cache)</t>
        </is>
      </c>
      <c r="B42" s="32">
        <f>$B$32*($B$33+$B$34)*$B$27/1000000+$B$40</f>
        <v>0.034</v>
      </c>
      <c r="C42" s="15" t="inlineStr">
        <is>
          <t>$ / job</t>
        </is>
      </c>
      <c r="D42" s="16" t="inlineStr">
        <is>
          <t>Tính đủ giá input cho cả phần lặp lại ở mọi lượt.</t>
        </is>
      </c>
      <c r="E42" s="7" t="n"/>
      <c r="F42" s="7" t="n"/>
      <c r="G42" s="8" t="n"/>
    </row>
    <row r="43" ht="29" customHeight="1">
      <c r="A43" s="18" t="inlineStr">
        <is>
          <t>% tiết kiệm nhờ cache</t>
        </is>
      </c>
      <c r="B43" s="19">
        <f>1-$B$41/$B$42</f>
        <v>0.5447058823529412</v>
      </c>
      <c r="C43" s="15" t="inlineStr">
        <is>
          <t>%</t>
        </is>
      </c>
      <c r="D43" s="16" t="inlineStr">
        <is>
          <t>Đề: ghi lại % tiết kiệm. Worked example của đề ra ~38%; ở đây cao hơn vì 1 batch dùng chung 1 lần ghi cache.</t>
        </is>
      </c>
      <c r="E43" s="7" t="n"/>
      <c r="F43" s="7" t="n"/>
      <c r="G43" s="8" t="n"/>
    </row>
    <row r="44" ht="29" customHeight="1">
      <c r="A44" s="18" t="inlineStr">
        <is>
          <t>Chi phí LLM / job nếu dùng Batch API (số thứ hai)</t>
        </is>
      </c>
      <c r="B44" s="32">
        <f>$B$41*(1-$B$31)</f>
        <v>0.00774</v>
      </c>
      <c r="C44" s="15" t="inlineStr">
        <is>
          <t>$ / job</t>
        </is>
      </c>
      <c r="D44" s="16" t="inlineStr">
        <is>
          <t>Job hóa đơn không cần realtime (giao kết quả trong ngày) → Batch khả thi. Lưu ý cache hit trong Batch chỉ là "best effort". Không dùng cho base case.</t>
        </is>
      </c>
      <c r="E44" s="7" t="n"/>
      <c r="F44" s="7" t="n"/>
      <c r="G44" s="8" t="n"/>
    </row>
    <row r="46" ht="18" customHeight="1">
      <c r="A46" s="3" t="inlineStr">
        <is>
          <t>S4. Speech (nếu có)</t>
        </is>
      </c>
      <c r="B46" s="4" t="n"/>
      <c r="C46" s="4" t="n"/>
      <c r="D46" s="4" t="n"/>
      <c r="E46" s="4" t="n"/>
      <c r="F46" s="4" t="n"/>
      <c r="G46" s="4" t="n"/>
    </row>
    <row r="47" ht="15.5" customHeight="1">
      <c r="A47" s="18" t="inlineStr">
        <is>
          <t>Giá STT</t>
        </is>
      </c>
      <c r="B47" s="33" t="n">
        <v>0</v>
      </c>
      <c r="C47" s="15" t="inlineStr">
        <is>
          <t>$ / phút</t>
        </is>
      </c>
      <c r="D47" s="16" t="inlineStr">
        <is>
          <t>N/A — sản phẩm không có thoại (đề: bỏ trống nếu không có thoại). Ô = 0 CÓ lý do.</t>
        </is>
      </c>
      <c r="E47" s="7" t="n"/>
      <c r="F47" s="7" t="n"/>
      <c r="G47" s="8" t="n"/>
    </row>
    <row r="48" ht="15.5" customHeight="1">
      <c r="A48" s="18" t="inlineStr">
        <is>
          <t>Thời lượng thoại / job</t>
        </is>
      </c>
      <c r="B48" s="31" t="n">
        <v>0</v>
      </c>
      <c r="C48" s="15" t="inlineStr">
        <is>
          <t>phút</t>
        </is>
      </c>
      <c r="D48" s="16" t="inlineStr">
        <is>
          <t>N/A — không có thoại.</t>
        </is>
      </c>
      <c r="E48" s="7" t="n"/>
      <c r="F48" s="7" t="n"/>
      <c r="G48" s="8" t="n"/>
    </row>
    <row r="49" ht="15.5" customHeight="1">
      <c r="A49" s="18" t="inlineStr">
        <is>
          <t>Giá TTS</t>
        </is>
      </c>
      <c r="B49" s="34" t="n">
        <v>0</v>
      </c>
      <c r="C49" s="15" t="inlineStr">
        <is>
          <t>$ / 1M ký tự</t>
        </is>
      </c>
      <c r="D49" s="16" t="inlineStr">
        <is>
          <t>N/A — không có thoại.</t>
        </is>
      </c>
      <c r="E49" s="7" t="n"/>
      <c r="F49" s="7" t="n"/>
      <c r="G49" s="8" t="n"/>
    </row>
    <row r="50" ht="15.5" customHeight="1">
      <c r="A50" s="18" t="inlineStr">
        <is>
          <t>Ký tự TTS / job</t>
        </is>
      </c>
      <c r="B50" s="31" t="n">
        <v>0</v>
      </c>
      <c r="C50" s="15" t="inlineStr">
        <is>
          <t>ký tự</t>
        </is>
      </c>
      <c r="D50" s="16" t="inlineStr">
        <is>
          <t>N/A — không có thoại.</t>
        </is>
      </c>
      <c r="E50" s="7" t="n"/>
      <c r="F50" s="7" t="n"/>
      <c r="G50" s="8" t="n"/>
    </row>
    <row r="51" ht="15.5" customHeight="1">
      <c r="A51" s="18" t="inlineStr">
        <is>
          <t>Chi phí Speech / job</t>
        </is>
      </c>
      <c r="B51" s="32">
        <f>$B$47*$B$48+$B$49*$B$50/1000000</f>
        <v>0.0</v>
      </c>
      <c r="C51" s="15" t="inlineStr">
        <is>
          <t>$ / job</t>
        </is>
      </c>
      <c r="D51" s="16" t="inlineStr"/>
      <c r="E51" s="7" t="n"/>
      <c r="F51" s="7" t="n"/>
      <c r="G51" s="8" t="n"/>
    </row>
    <row r="53" ht="18" customHeight="1">
      <c r="A53" s="3" t="inlineStr">
        <is>
          <t>S5. Infra ($ / job thử)</t>
        </is>
      </c>
      <c r="B53" s="4" t="n"/>
      <c r="C53" s="4" t="n"/>
      <c r="D53" s="4" t="n"/>
      <c r="E53" s="4" t="n"/>
      <c r="F53" s="4" t="n"/>
      <c r="G53" s="4" t="n"/>
    </row>
    <row r="54" ht="15.5" customHeight="1">
      <c r="A54" s="18" t="inlineStr">
        <is>
          <t>Lưu trữ file hóa đơn + egress</t>
        </is>
      </c>
      <c r="B54" s="33" t="n">
        <v>0.0005</v>
      </c>
      <c r="C54" s="15" t="inlineStr">
        <is>
          <t>$ / job</t>
        </is>
      </c>
      <c r="D54" s="16" t="inlineStr">
        <is>
          <t>GIẢ ĐỊNH: ~0,5 MB / hóa đơn, lưu 12 tháng, object storage. Cần đo.</t>
        </is>
      </c>
      <c r="E54" s="7" t="n"/>
      <c r="F54" s="7" t="n"/>
      <c r="G54" s="8" t="n"/>
    </row>
    <row r="55" ht="29" customHeight="1">
      <c r="A55" s="18" t="inlineStr">
        <is>
          <t>Embedding + vector DB (đối chiếu nhà cung cấp / PO)</t>
        </is>
      </c>
      <c r="B55" s="33" t="n">
        <v>0.001</v>
      </c>
      <c r="C55" s="15" t="inlineStr">
        <is>
          <t>$ / job</t>
        </is>
      </c>
      <c r="D55" s="16" t="inlineStr">
        <is>
          <t>GIẢ ĐỊNH. Cần đo.</t>
        </is>
      </c>
      <c r="E55" s="7" t="n"/>
      <c r="F55" s="7" t="n"/>
      <c r="G55" s="8" t="n"/>
    </row>
    <row r="56" ht="29" customHeight="1">
      <c r="A56" s="18" t="inlineStr">
        <is>
          <t>Logging + observability + chạy eval nền (LLM-judge mẫu 5%)</t>
        </is>
      </c>
      <c r="B56" s="33" t="n">
        <v>0.002</v>
      </c>
      <c r="C56" s="15" t="inlineStr">
        <is>
          <t>$ / job</t>
        </is>
      </c>
      <c r="D56" s="16" t="inlineStr">
        <is>
          <t>GIẢ ĐỊNH. Prompt 4.7.1 nhắc đúng khoản này: chi phí chạy eval hay bị quên.</t>
        </is>
      </c>
      <c r="E56" s="7" t="n"/>
      <c r="F56" s="7" t="n"/>
      <c r="G56" s="8" t="n"/>
    </row>
    <row r="57" ht="29" customHeight="1">
      <c r="A57" s="18" t="inlineStr">
        <is>
          <t>Compute API server, hàng đợi, DB (phân bổ)</t>
        </is>
      </c>
      <c r="B57" s="33" t="n">
        <v>0.004</v>
      </c>
      <c r="C57" s="15" t="inlineStr">
        <is>
          <t>$ / job</t>
        </is>
      </c>
      <c r="D57" s="16" t="inlineStr">
        <is>
          <t>GIẢ ĐỊNH: ~$75/tháng hạ tầng cố định / 10.000 job + phần biến đổi. Sẽ cao hơn nếu volume thấp hơn.</t>
        </is>
      </c>
      <c r="E57" s="7" t="n"/>
      <c r="F57" s="7" t="n"/>
      <c r="G57" s="8" t="n"/>
    </row>
    <row r="58" ht="15.5" customHeight="1">
      <c r="A58" s="13" t="inlineStr">
        <is>
          <t>Infra / job</t>
        </is>
      </c>
      <c r="B58" s="14">
        <f>$B$54+$B$55+$B$56+$B$57</f>
        <v>0.0075</v>
      </c>
      <c r="C58" s="15" t="inlineStr">
        <is>
          <t>$ / job</t>
        </is>
      </c>
      <c r="D58" s="16" t="inlineStr"/>
      <c r="E58" s="7" t="n"/>
      <c r="F58" s="7" t="n"/>
      <c r="G58" s="8" t="n"/>
    </row>
    <row r="60" ht="18" customHeight="1">
      <c r="A60" s="3" t="inlineStr">
        <is>
          <t>S6. Retry</t>
        </is>
      </c>
      <c r="B60" s="4" t="n"/>
      <c r="C60" s="4" t="n"/>
      <c r="D60" s="4" t="n"/>
      <c r="E60" s="4" t="n"/>
      <c r="F60" s="4" t="n"/>
      <c r="G60" s="4" t="n"/>
    </row>
    <row r="61" ht="15.5" customHeight="1">
      <c r="A61" s="18" t="inlineStr">
        <is>
          <t>% job phải chạy lại</t>
        </is>
      </c>
      <c r="B61" s="28" t="n">
        <v>0.07000000000000001</v>
      </c>
      <c r="C61" s="15" t="inlineStr">
        <is>
          <t>%</t>
        </is>
      </c>
      <c r="D61" s="16" t="inlineStr">
        <is>
          <t>ƯỚC TÍNH, chưa đo (đề: 5–10% là bình thường, 0% là sai). Cộng thêm đúng % chi phí LLM.</t>
        </is>
      </c>
      <c r="E61" s="7" t="n"/>
      <c r="F61" s="7" t="n"/>
      <c r="G61" s="8" t="n"/>
    </row>
    <row r="63" ht="18" customHeight="1">
      <c r="A63" s="3" t="inlineStr">
        <is>
          <t>S7. HITL — chọn Biến thể A hay B</t>
        </is>
      </c>
      <c r="B63" s="4" t="n"/>
      <c r="C63" s="4" t="n"/>
      <c r="D63" s="4" t="n"/>
      <c r="E63" s="4" t="n"/>
      <c r="F63" s="4" t="n"/>
      <c r="G63" s="4" t="n"/>
    </row>
    <row r="64" ht="56" customHeight="1">
      <c r="A64" s="18" t="inlineStr">
        <is>
          <t>Biến thể đã chọn và 1 câu lý do</t>
        </is>
      </c>
      <c r="B64" s="25" t="str">
        <f>"Tôi chọn Biến thể A: hóa đơn nào AI không chắc sẽ chuyển cho kế toán của khách duyệt ngay trong sản phẩm, nên công của họ không tính vào chi phí của tôi. Tôi chỉ tốn tiền cho phần kiểm tra mẫu "&amp;ROUND($B$68*100,0)&amp;"%. Nếu tôi phải tự xử lý các ca đó (Biến thể B), Cost/Job tăng lên $"&amp;ROUND($C$88,3)&amp;" và lãi gộp chỉ còn "&amp;ROUND('2_Pricing'!$B$47*100,0)&amp;"%, nên tôi không bán theo cách này."</f>
        <v>Tôi chọn Biến thể A: hóa đơn nào AI không chắc sẽ chuyển cho kế toán của khách duyệt ngay trong sản phẩm, nên công của họ không tính vào chi phí của tôi. Tôi chỉ tốn tiền cho phần kiểm tra mẫu 4%. Nếu tôi phải tự xử lý các ca đó (Biến thể B), Cost/Job tăng lên $0.103 và lãi gộp chỉ còn 17%, nên tôi không bán theo cách này.</v>
      </c>
      <c r="C64" s="7" t="n"/>
      <c r="D64" s="7" t="n"/>
      <c r="E64" s="7" t="n"/>
      <c r="F64" s="7" t="n"/>
      <c r="G64" s="8" t="n"/>
    </row>
    <row r="65" ht="15.5" customHeight="1">
      <c r="A65" s="18" t="inlineStr">
        <is>
          <t>Lương QA nội bộ (fully-loaded)</t>
        </is>
      </c>
      <c r="B65" s="23" t="n">
        <v>18000000</v>
      </c>
      <c r="C65" s="15" t="inlineStr">
        <is>
          <t>VND / tháng</t>
        </is>
      </c>
      <c r="D65" s="16" t="inlineStr">
        <is>
          <t>GIẢ ĐỊNH (1 reviewer kế toán có kinh nghiệm).</t>
        </is>
      </c>
      <c r="E65" s="7" t="n"/>
      <c r="F65" s="7" t="n"/>
      <c r="G65" s="8" t="n"/>
    </row>
    <row r="66" ht="15.5" customHeight="1">
      <c r="A66" s="18" t="inlineStr">
        <is>
          <t>Giờ làm / tháng</t>
        </is>
      </c>
      <c r="B66" s="31" t="n">
        <v>176</v>
      </c>
      <c r="C66" s="15" t="inlineStr">
        <is>
          <t>giờ</t>
        </is>
      </c>
      <c r="D66" s="16" t="inlineStr">
        <is>
          <t>22 ngày × 8 giờ.</t>
        </is>
      </c>
      <c r="E66" s="7" t="n"/>
      <c r="F66" s="7" t="n"/>
      <c r="G66" s="8" t="n"/>
    </row>
    <row r="67" ht="15.5" customHeight="1">
      <c r="A67" s="18" t="inlineStr">
        <is>
          <t>Chi phí giờ người</t>
        </is>
      </c>
      <c r="B67" s="20">
        <f>$B$65/$B$66/$B$5</f>
        <v>3.8961038961038965</v>
      </c>
      <c r="C67" s="15" t="inlineStr">
        <is>
          <t>$ / giờ</t>
        </is>
      </c>
      <c r="D67" s="16" t="inlineStr">
        <is>
          <t>Tự tính từ VND và tỷ giá — không gõ tay.</t>
        </is>
      </c>
      <c r="E67" s="7" t="n"/>
      <c r="F67" s="7" t="n"/>
      <c r="G67" s="8" t="n"/>
    </row>
    <row r="68" ht="15.5" customHeight="1">
      <c r="A68" s="18" t="inlineStr">
        <is>
          <t>% job hoàn thành bị QA nội bộ lấy mẫu</t>
        </is>
      </c>
      <c r="B68" s="28" t="n">
        <v>0.04</v>
      </c>
      <c r="C68" s="15" t="inlineStr">
        <is>
          <t>%</t>
        </is>
      </c>
      <c r="D68" s="16" t="inlineStr">
        <is>
          <t>GIẢ ĐỊNH: 4% (đề dùng 5% cho ví dụ CSKH).</t>
        </is>
      </c>
      <c r="E68" s="7" t="n"/>
      <c r="F68" s="7" t="n"/>
      <c r="G68" s="8" t="n"/>
    </row>
    <row r="69" ht="15.5" customHeight="1">
      <c r="A69" s="18" t="inlineStr">
        <is>
          <t>Phút / ca QA</t>
        </is>
      </c>
      <c r="B69" s="31" t="n">
        <v>3</v>
      </c>
      <c r="C69" s="15" t="inlineStr">
        <is>
          <t>phút</t>
        </is>
      </c>
      <c r="D69" s="16" t="inlineStr">
        <is>
          <t>GIẢ ĐỊNH.</t>
        </is>
      </c>
      <c r="E69" s="7" t="n"/>
      <c r="F69" s="7" t="n"/>
      <c r="G69" s="8" t="n"/>
    </row>
    <row r="70" ht="15.5" customHeight="1">
      <c r="A70" s="18" t="inlineStr">
        <is>
          <t>Phút / ca escalation (chỉ Biến thể B)</t>
        </is>
      </c>
      <c r="B70" s="31" t="n">
        <v>4</v>
      </c>
      <c r="C70" s="15" t="inlineStr">
        <is>
          <t>phút</t>
        </is>
      </c>
      <c r="D70" s="16" t="inlineStr">
        <is>
          <t>GIẢ ĐỊNH: xử lý tay 1 hóa đơn AI không chắc.</t>
        </is>
      </c>
      <c r="E70" s="7" t="n"/>
      <c r="F70" s="7" t="n"/>
      <c r="G70" s="8" t="n"/>
    </row>
    <row r="72" ht="18" customHeight="1">
      <c r="A72" s="3" t="inlineStr">
        <is>
          <t>S8. Overhead (R&amp;D + sales phân bổ / tháng)</t>
        </is>
      </c>
      <c r="B72" s="4" t="n"/>
      <c r="C72" s="4" t="n"/>
      <c r="D72" s="4" t="n"/>
      <c r="E72" s="4" t="n"/>
      <c r="F72" s="4" t="n"/>
      <c r="G72" s="4" t="n"/>
    </row>
    <row r="73" ht="15.5" customHeight="1">
      <c r="A73" s="18" t="inlineStr">
        <is>
          <t>Số FTE R&amp;D + sales phân bổ cho dòng sản phẩm này</t>
        </is>
      </c>
      <c r="B73" s="31" t="n">
        <v>2</v>
      </c>
      <c r="C73" s="15" t="inlineStr">
        <is>
          <t>FTE</t>
        </is>
      </c>
      <c r="D73" s="16" t="inlineStr">
        <is>
          <t>GIẢ ĐỊNH.</t>
        </is>
      </c>
      <c r="E73" s="7" t="n"/>
      <c r="F73" s="7" t="n"/>
      <c r="G73" s="8" t="n"/>
    </row>
    <row r="74" ht="15.5" customHeight="1">
      <c r="A74" s="18" t="inlineStr">
        <is>
          <t>Chi phí / FTE (fully-loaded)</t>
        </is>
      </c>
      <c r="B74" s="23" t="n">
        <v>15000000</v>
      </c>
      <c r="C74" s="15" t="inlineStr">
        <is>
          <t>VND / tháng</t>
        </is>
      </c>
      <c r="D74" s="16" t="inlineStr">
        <is>
          <t>GIẢ ĐỊNH.</t>
        </is>
      </c>
      <c r="E74" s="7" t="n"/>
      <c r="F74" s="7" t="n"/>
      <c r="G74" s="8" t="n"/>
    </row>
    <row r="75" ht="15.5" customHeight="1">
      <c r="A75" s="18" t="inlineStr">
        <is>
          <t>Overhead / tháng</t>
        </is>
      </c>
      <c r="B75" s="20">
        <f>$B$73*$B$74/$B$5</f>
        <v>1142.857142857143</v>
      </c>
      <c r="C75" s="15" t="inlineStr">
        <is>
          <t>$ / tháng</t>
        </is>
      </c>
      <c r="D75" s="16" t="inlineStr">
        <is>
          <t>Theo đề: Overhead thường để riêng khi tính GM. Model hiện cả 2 số: có và không có overhead.</t>
        </is>
      </c>
      <c r="E75" s="7" t="n"/>
      <c r="F75" s="7" t="n"/>
      <c r="G75" s="8" t="n"/>
    </row>
    <row r="77" ht="18" customHeight="1">
      <c r="A77" s="3" t="inlineStr">
        <is>
          <t>KẾT QUẢ — Cost/Job build-up (USD / tháng) — đủ 5 thành phần</t>
        </is>
      </c>
      <c r="B77" s="4" t="n"/>
      <c r="C77" s="4" t="n"/>
      <c r="D77" s="4" t="n"/>
      <c r="E77" s="4" t="n"/>
      <c r="F77" s="4" t="n"/>
      <c r="G77" s="4" t="n"/>
    </row>
    <row r="78" ht="15.5" customHeight="1">
      <c r="A78" s="35" t="inlineStr">
        <is>
          <t>Thành phần</t>
        </is>
      </c>
      <c r="B78" s="36" t="inlineStr">
        <is>
          <t>Biến thể A</t>
        </is>
      </c>
      <c r="C78" s="36" t="inlineStr">
        <is>
          <t>Biến thể B</t>
        </is>
      </c>
      <c r="D78" s="36" t="inlineStr">
        <is>
          <t>Ghi chú</t>
        </is>
      </c>
    </row>
    <row r="79" ht="15.5" customHeight="1">
      <c r="A79" s="18" t="inlineStr">
        <is>
          <t>1. API — LLM + Speech</t>
        </is>
      </c>
      <c r="B79" s="20">
        <f>$B$21*($B$41+$B$51)</f>
        <v>154.8</v>
      </c>
      <c r="C79" s="20">
        <f>$B$79</f>
        <v>154.8</v>
      </c>
      <c r="D79" s="16" t="inlineStr">
        <is>
          <t>Tính trên TOÀN BỘ job thử (job escalate vẫn tốn token).</t>
        </is>
      </c>
      <c r="E79" s="7" t="n"/>
      <c r="F79" s="7" t="n"/>
      <c r="G79" s="8" t="n"/>
    </row>
    <row r="80" ht="15.5" customHeight="1">
      <c r="A80" s="18" t="inlineStr">
        <is>
          <t xml:space="preserve">   API — Retry</t>
        </is>
      </c>
      <c r="B80" s="20">
        <f>$B$79*$B$61</f>
        <v>10.836000000000002</v>
      </c>
      <c r="C80" s="20">
        <f>$C$79*$B$61</f>
        <v>10.836000000000002</v>
      </c>
      <c r="D80" s="16" t="inlineStr"/>
      <c r="E80" s="7" t="n"/>
      <c r="F80" s="7" t="n"/>
      <c r="G80" s="8" t="n"/>
    </row>
    <row r="81" ht="15.5" customHeight="1">
      <c r="A81" s="18" t="inlineStr">
        <is>
          <t>2. Infra</t>
        </is>
      </c>
      <c r="B81" s="20">
        <f>$B$21*$B$58</f>
        <v>75.0</v>
      </c>
      <c r="C81" s="20">
        <f>$B$81</f>
        <v>75.0</v>
      </c>
      <c r="D81" s="16" t="inlineStr"/>
      <c r="E81" s="7" t="n"/>
      <c r="F81" s="7" t="n"/>
      <c r="G81" s="8" t="n"/>
    </row>
    <row r="82" ht="15.5" customHeight="1">
      <c r="A82" s="18" t="inlineStr">
        <is>
          <t>3. HITL — QA nội bộ (mẫu)</t>
        </is>
      </c>
      <c r="B82" s="20">
        <f>$B$23*$B$68*$B$69/60*$B$67</f>
        <v>62.337662337662344</v>
      </c>
      <c r="C82" s="20">
        <f>$B$82</f>
        <v>62.337662337662344</v>
      </c>
      <c r="D82" s="16" t="inlineStr">
        <is>
          <t>Luôn có, ở cả hai biến thể.</t>
        </is>
      </c>
      <c r="E82" s="7" t="n"/>
      <c r="F82" s="7" t="n"/>
      <c r="G82" s="8" t="n"/>
    </row>
    <row r="83" ht="15.5" customHeight="1">
      <c r="A83" s="18" t="inlineStr">
        <is>
          <t xml:space="preserve">   HITL — escalation</t>
        </is>
      </c>
      <c r="B83" s="37" t="n">
        <v>0</v>
      </c>
      <c r="C83" s="20">
        <f>$B$24*$B$70/60*$B$67</f>
        <v>519.4805194805195</v>
      </c>
      <c r="D83" s="16" t="inlineStr">
        <is>
          <t>Biến thể A: khách tự xử lý → 0 CÓ lý do (không vào COGS). Biến thể B: bạn gánh.</t>
        </is>
      </c>
      <c r="E83" s="7" t="n"/>
      <c r="F83" s="7" t="n"/>
      <c r="G83" s="8" t="n"/>
    </row>
    <row r="84" ht="15.5" customHeight="1">
      <c r="A84" s="13" t="inlineStr">
        <is>
          <t>Cộng — COGS (API + Infra + HITL + Retry)</t>
        </is>
      </c>
      <c r="B84" s="38">
        <f>$B$79+$B$80+$B$81+$B$82+$B$83</f>
        <v>302.97366233766235</v>
      </c>
      <c r="C84" s="38">
        <f>$C$79+$C$80+$C$81+$C$82+$C$83</f>
        <v>822.454181818182</v>
      </c>
      <c r="D84" s="16" t="inlineStr"/>
      <c r="E84" s="7" t="n"/>
      <c r="F84" s="7" t="n"/>
      <c r="G84" s="8" t="n"/>
    </row>
    <row r="85" ht="15.5" customHeight="1">
      <c r="A85" s="18" t="inlineStr">
        <is>
          <t>4. Overhead (R&amp;D + sales phân bổ)</t>
        </is>
      </c>
      <c r="B85" s="20">
        <f>$B$75</f>
        <v>1142.857142857143</v>
      </c>
      <c r="C85" s="20">
        <f>$B$75</f>
        <v>1142.857142857143</v>
      </c>
      <c r="D85" s="16" t="inlineStr">
        <is>
          <t>Thành phần thứ 5; tách riêng khỏi COGS theo gợi ý của đề.</t>
        </is>
      </c>
      <c r="E85" s="7" t="n"/>
      <c r="F85" s="7" t="n"/>
      <c r="G85" s="8" t="n"/>
    </row>
    <row r="86" ht="15.5" customHeight="1">
      <c r="A86" s="13" t="inlineStr">
        <is>
          <t>Cộng — có overhead</t>
        </is>
      </c>
      <c r="B86" s="38">
        <f>$B$84+$B$85</f>
        <v>1445.8308051948052</v>
      </c>
      <c r="C86" s="38">
        <f>$C$84+$C$85</f>
        <v>1965.3113246753248</v>
      </c>
      <c r="D86" s="16" t="inlineStr"/>
      <c r="E86" s="7" t="n"/>
      <c r="F86" s="7" t="n"/>
      <c r="G86" s="8" t="n"/>
    </row>
    <row r="87" ht="15.5" customHeight="1">
      <c r="A87" s="18" t="inlineStr">
        <is>
          <t>Số job HOÀN THÀNH</t>
        </is>
      </c>
      <c r="B87" s="29">
        <f>$B$23</f>
        <v>8000.0</v>
      </c>
      <c r="C87" s="29">
        <f>$B$23</f>
        <v>8000.0</v>
      </c>
      <c r="D87" s="16" t="inlineStr">
        <is>
          <t>Mẫu số = job hoàn thành, không phải job thử.</t>
        </is>
      </c>
      <c r="E87" s="7" t="n"/>
      <c r="F87" s="7" t="n"/>
      <c r="G87" s="8" t="n"/>
    </row>
    <row r="88" ht="15.5" customHeight="1">
      <c r="A88" s="13" t="inlineStr">
        <is>
          <t>COST/JOB (COGS, chưa overhead)</t>
        </is>
      </c>
      <c r="B88" s="14">
        <f>$B$84/$B$87</f>
        <v>0.03787170779220779</v>
      </c>
      <c r="C88" s="14">
        <f>$C$84/$C$87</f>
        <v>0.10280677272727275</v>
      </c>
      <c r="D88" s="16" t="inlineStr">
        <is>
          <t>Con số dùng để tính giá sàn và Gross Margin.</t>
        </is>
      </c>
      <c r="E88" s="7" t="n"/>
      <c r="F88" s="7" t="n"/>
      <c r="G88" s="8" t="n"/>
    </row>
    <row r="89" ht="29" customHeight="1">
      <c r="A89" s="18" t="inlineStr">
        <is>
          <t>Cost/Job (có overhead)</t>
        </is>
      </c>
      <c r="B89" s="32">
        <f>$B$86/$B$87</f>
        <v>0.18072885064935065</v>
      </c>
      <c r="C89" s="32">
        <f>$C$86/$C$87</f>
        <v>0.2456639155844156</v>
      </c>
      <c r="D89" s="16" t="inlineStr">
        <is>
          <t>Số thứ hai theo đề (S8). Ở quy mô hiện tại overhead lớn hơn doanh thu/job: xem hòa vốn overhead ở 2_Pricing.</t>
        </is>
      </c>
      <c r="E89" s="7" t="n"/>
      <c r="F89" s="7" t="n"/>
      <c r="G89" s="8" t="n"/>
    </row>
    <row r="90" ht="15.5" customHeight="1">
      <c r="A90" s="18" t="inlineStr">
        <is>
          <t>[SAI] Cost/Job nếu chia cho job THỬ</t>
        </is>
      </c>
      <c r="B90" s="32">
        <f>$B$84/$B$21</f>
        <v>0.030297366233766235</v>
      </c>
      <c r="C90" s="32">
        <f>$C$84/$B$21</f>
        <v>0.0822454181818182</v>
      </c>
      <c r="D90" s="16" t="inlineStr">
        <is>
          <t>Chỉ để minh họa bẫy mẫu số.</t>
        </is>
      </c>
      <c r="E90" s="7" t="n"/>
      <c r="F90" s="7" t="n"/>
      <c r="G90" s="8" t="n"/>
    </row>
    <row r="91" ht="15.5" customHeight="1">
      <c r="A91" s="18" t="inlineStr">
        <is>
          <t xml:space="preserve">   Cost/Job thật cao hơn bản sai</t>
        </is>
      </c>
      <c r="B91" s="19">
        <f>$B$88/$B$90-1</f>
        <v>0.24999999999999978</v>
      </c>
      <c r="C91" s="19">
        <f>$C$88/$C$90-1</f>
        <v>0.25</v>
      </c>
      <c r="D91" s="16" t="inlineStr">
        <is>
          <t>Chia cho job thử làm Cost/Job bị đánh giá thấp đúng % này.</t>
        </is>
      </c>
      <c r="E91" s="7" t="n"/>
      <c r="F91" s="7" t="n"/>
      <c r="G91" s="8" t="n"/>
    </row>
    <row r="93" ht="18" customHeight="1">
      <c r="A93" s="3" t="inlineStr">
        <is>
          <t>Biến thể đang chọn (theo ô "Biến thể HITL" ở S0)</t>
        </is>
      </c>
      <c r="B93" s="4" t="n"/>
      <c r="C93" s="4" t="n"/>
      <c r="D93" s="4" t="n"/>
      <c r="E93" s="4" t="n"/>
      <c r="F93" s="4" t="n"/>
      <c r="G93" s="4" t="n"/>
    </row>
    <row r="94" ht="15.5" customHeight="1">
      <c r="A94" s="13" t="inlineStr">
        <is>
          <t>Cost/Job — biến thể đang chọn</t>
        </is>
      </c>
      <c r="B94" s="14">
        <f>IF($B$8="A",$B$88,$C$88)</f>
        <v>0.03787170779220779</v>
      </c>
      <c r="C94" s="15" t="inlineStr">
        <is>
          <t>$ / job</t>
        </is>
      </c>
      <c r="D94" s="16" t="inlineStr"/>
      <c r="E94" s="7" t="n"/>
      <c r="F94" s="7" t="n"/>
      <c r="G94" s="8" t="n"/>
    </row>
    <row r="95" ht="15.5" customHeight="1">
      <c r="A95" s="18" t="inlineStr">
        <is>
          <t>Cost/Job có overhead — biến thể đang chọn</t>
        </is>
      </c>
      <c r="B95" s="32">
        <f>IF($B$8="A",$B$89,$C$89)</f>
        <v>0.18072885064935065</v>
      </c>
      <c r="C95" s="15" t="inlineStr">
        <is>
          <t>$ / job</t>
        </is>
      </c>
      <c r="D95" s="16" t="inlineStr"/>
      <c r="E95" s="7" t="n"/>
      <c r="F95" s="7" t="n"/>
      <c r="G95" s="8" t="n"/>
    </row>
    <row r="96" ht="15.5" customHeight="1">
      <c r="A96" s="18" t="inlineStr">
        <is>
          <t>COGS / tháng — biến thể đang chọn</t>
        </is>
      </c>
      <c r="B96" s="20">
        <f>IF($B$8="A",$B$84,$C$84)</f>
        <v>302.97366233766235</v>
      </c>
      <c r="C96" s="15" t="inlineStr">
        <is>
          <t>$ / tháng</t>
        </is>
      </c>
      <c r="D96" s="16" t="inlineStr"/>
      <c r="E96" s="7" t="n"/>
      <c r="F96" s="7" t="n"/>
      <c r="G96" s="8" t="n"/>
    </row>
    <row r="97" ht="15.5" customHeight="1">
      <c r="A97" s="18" t="inlineStr">
        <is>
          <t>HITL / tháng — biến thể đang chọn</t>
        </is>
      </c>
      <c r="B97" s="20">
        <f>IF($B$8="A",$B$82+$B$83,$C$82+$C$83)</f>
        <v>62.337662337662344</v>
      </c>
      <c r="C97" s="15" t="inlineStr">
        <is>
          <t>$ / tháng</t>
        </is>
      </c>
      <c r="D97" s="16" t="inlineStr"/>
      <c r="E97" s="7" t="n"/>
      <c r="F97" s="7" t="n"/>
      <c r="G97" s="8" t="n"/>
    </row>
    <row r="98" ht="15.5" customHeight="1">
      <c r="A98" s="18" t="inlineStr">
        <is>
          <t>Cost/Job nếu dùng Batch API (số thứ hai)</t>
        </is>
      </c>
      <c r="B98" s="32">
        <f>(($B$79+$B$80)*(1-$B$31)+$B$81+$B$97)/$B$23</f>
        <v>0.027519457792207797</v>
      </c>
      <c r="C98" s="15" t="inlineStr">
        <is>
          <t>$ / job</t>
        </is>
      </c>
      <c r="D98" s="16" t="inlineStr">
        <is>
          <t>Chỉ API + Retry được giảm; Infra và HITL không đổi.</t>
        </is>
      </c>
      <c r="E98" s="7" t="n"/>
      <c r="F98" s="7" t="n"/>
      <c r="G98" s="8" t="n"/>
    </row>
    <row r="99" ht="29" customHeight="1">
      <c r="A99" s="18" t="inlineStr">
        <is>
          <t>Kiểm tra: đủ 5 thành phần, không ô nào = 0 mà không có lý do</t>
        </is>
      </c>
      <c r="B99" s="22" t="str">
        <f>IF(AND($B$79&gt;0,$B$81&gt;0,$B$82&gt;0,$B$80&gt;0,$B$85&gt;0),"✓ Đủ API, Infra, HITL, Retry, Overhead đều &gt; 0. Ô = 0 duy nhất: Speech (không có thoại) và escalation Biến thể A (khách tự xử lý), cả hai có lý do ghi chú.","✗ Có thành phần = 0 — kiểm tra lại S3–S8")</f>
        <v>✓ Đủ API, Infra, HITL, Retry, Overhead đều &gt; 0. Ô = 0 duy nhất: Speech (không có thoại) và escalation Biến thể A (khách tự xử lý), cả hai có lý do ghi chú.</v>
      </c>
      <c r="C99" s="7" t="n"/>
      <c r="D99" s="7" t="n"/>
      <c r="E99" s="7" t="n"/>
      <c r="F99" s="7" t="n"/>
      <c r="G99" s="8" t="n"/>
    </row>
  </sheetData>
  <mergeCells count="75">
    <mergeCell ref="D18:G18"/>
    <mergeCell ref="D56:G56"/>
    <mergeCell ref="B14:G14"/>
    <mergeCell ref="D39:G39"/>
    <mergeCell ref="D8:G8"/>
    <mergeCell ref="D58:G58"/>
    <mergeCell ref="D83:G83"/>
    <mergeCell ref="D74:G74"/>
    <mergeCell ref="D24:G24"/>
    <mergeCell ref="D30:G30"/>
    <mergeCell ref="D68:G68"/>
    <mergeCell ref="D82:G82"/>
    <mergeCell ref="D33:G33"/>
    <mergeCell ref="B13:G13"/>
    <mergeCell ref="D29:G29"/>
    <mergeCell ref="D55:G55"/>
    <mergeCell ref="D5:G5"/>
    <mergeCell ref="D42:G42"/>
    <mergeCell ref="D38:G38"/>
    <mergeCell ref="D51:G51"/>
    <mergeCell ref="D67:G67"/>
    <mergeCell ref="D73:G73"/>
    <mergeCell ref="D85:G85"/>
    <mergeCell ref="D89:G89"/>
    <mergeCell ref="D23:G23"/>
    <mergeCell ref="D54:G54"/>
    <mergeCell ref="D88:G88"/>
    <mergeCell ref="D94:G94"/>
    <mergeCell ref="D79:G79"/>
    <mergeCell ref="B99:G99"/>
    <mergeCell ref="D35:G35"/>
    <mergeCell ref="D50:G50"/>
    <mergeCell ref="D69:G69"/>
    <mergeCell ref="D44:G44"/>
    <mergeCell ref="D34:G34"/>
    <mergeCell ref="D90:G90"/>
    <mergeCell ref="D81:G81"/>
    <mergeCell ref="B64:G64"/>
    <mergeCell ref="B15:G15"/>
    <mergeCell ref="D84:G84"/>
    <mergeCell ref="D22:G22"/>
    <mergeCell ref="D40:G40"/>
    <mergeCell ref="D80:G80"/>
    <mergeCell ref="D31:G31"/>
    <mergeCell ref="D65:G65"/>
    <mergeCell ref="D36:G36"/>
    <mergeCell ref="D6:G6"/>
    <mergeCell ref="D96:G96"/>
    <mergeCell ref="D21:G21"/>
    <mergeCell ref="D86:G86"/>
    <mergeCell ref="D98:G98"/>
    <mergeCell ref="D49:G49"/>
    <mergeCell ref="D57:G57"/>
    <mergeCell ref="D27:G27"/>
    <mergeCell ref="D95:G95"/>
    <mergeCell ref="D32:G32"/>
    <mergeCell ref="D41:G41"/>
    <mergeCell ref="D70:G70"/>
    <mergeCell ref="D48:G48"/>
    <mergeCell ref="D17:G17"/>
    <mergeCell ref="D61:G61"/>
    <mergeCell ref="D75:G75"/>
    <mergeCell ref="D91:G91"/>
    <mergeCell ref="D66:G66"/>
    <mergeCell ref="D97:G97"/>
    <mergeCell ref="D47:G47"/>
    <mergeCell ref="D16:G16"/>
    <mergeCell ref="D7:G7"/>
    <mergeCell ref="A2:G2"/>
    <mergeCell ref="B12:G12"/>
    <mergeCell ref="D43:G43"/>
    <mergeCell ref="D87:G87"/>
    <mergeCell ref="D37:G37"/>
    <mergeCell ref="D28:G28"/>
    <mergeCell ref="B11:G11"/>
  </mergeCells>
  <conditionalFormatting sqref="B99:G99">
    <cfRule type="expression" priority="1" dxfId="1" stopIfTrue="1">
      <formula>LEFT(B99,1)="✓"</formula>
    </cfRule>
    <cfRule type="expression" priority="2" dxfId="3" stopIfTrue="1">
      <formula>LEFT(B99,1)="✗"</formula>
    </cfRule>
    <cfRule type="expression" priority="3" dxfId="2" stopIfTrue="1">
      <formula>LEFT(B99,1)="~"</formula>
    </cfRule>
  </conditionalFormatting>
  <dataValidations count="2">
    <dataValidation sqref="B7" showDropDown="0" showInputMessage="0" showErrorMessage="0" allowBlank="0" type="list">
      <formula1>'6_Benchmarks'!$A$6:$A$12</formula1>
    </dataValidation>
    <dataValidation sqref="B8" showDropDown="0" showInputMessage="0" showErrorMessage="0" allowBlank="0" type="list">
      <formula1>"A,B"</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1F3864"/>
    <outlinePr summaryBelow="1" summaryRight="1"/>
    <pageSetUpPr fitToPage="1"/>
  </sheetPr>
  <dimension ref="A1:G101"/>
  <sheetViews>
    <sheetView showGridLines="0" workbookViewId="0">
      <selection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 width="34" customWidth="1" min="7" max="7"/>
  </cols>
  <sheetData>
    <row r="1">
      <c r="A1" s="1" t="inlineStr">
        <is>
          <t>2_Pricing — Giá sàn, giá trần, Gross Margin, Breakeven containment, stress test</t>
        </is>
      </c>
    </row>
    <row r="2" ht="27" customHeight="1">
      <c r="A2" s="2" t="inlineStr">
        <is>
          <t>SẢN PHẨM GIẢ ĐỊNH (placeholder) — "HoaDonAI": AI nhập liệu và đối chiếu hóa đơn đầu vào cho SME Việt Nam. Thay các ô VÀNG bằng số liệu sản phẩm thật của bạn; mọi ô xám tự tính lại.</t>
        </is>
      </c>
    </row>
    <row r="4" ht="18" customHeight="1">
      <c r="A4" s="3" t="inlineStr">
        <is>
          <t>A. Giá sàn = 3 × Cost/Job</t>
        </is>
      </c>
      <c r="B4" s="4" t="n"/>
      <c r="C4" s="4" t="n"/>
      <c r="D4" s="4" t="n"/>
      <c r="E4" s="4" t="n"/>
      <c r="F4" s="4" t="n"/>
      <c r="G4" s="4" t="n"/>
    </row>
    <row r="5" ht="15.5" customHeight="1">
      <c r="A5" s="18" t="inlineStr">
        <is>
          <t>Cost/Job (biến thể đang chọn)</t>
        </is>
      </c>
      <c r="B5" s="32">
        <f>'1_Cost_Job'!$B$94</f>
        <v>0.03787170779220779</v>
      </c>
      <c r="C5" s="15" t="inlineStr">
        <is>
          <t>$ / job</t>
        </is>
      </c>
      <c r="D5" s="16" t="inlineStr">
        <is>
          <t>Liên kết từ 1_Cost_Job.</t>
        </is>
      </c>
      <c r="E5" s="7" t="n"/>
      <c r="F5" s="7" t="n"/>
      <c r="G5" s="8" t="n"/>
    </row>
    <row r="6" ht="15.5" customHeight="1">
      <c r="A6" s="18" t="inlineStr">
        <is>
          <t>Hệ số giá sàn</t>
        </is>
      </c>
      <c r="B6" s="39" t="n">
        <v>3</v>
      </c>
      <c r="C6" s="15" t="inlineStr">
        <is>
          <t>×</t>
        </is>
      </c>
      <c r="D6" s="16" t="inlineStr">
        <is>
          <t>Đủ để cover R&amp;D, sales, support và sai số ước tính (đề §4.3).</t>
        </is>
      </c>
      <c r="E6" s="7" t="n"/>
      <c r="F6" s="7" t="n"/>
      <c r="G6" s="8" t="n"/>
    </row>
    <row r="7" ht="15.5" customHeight="1">
      <c r="A7" s="13" t="inlineStr">
        <is>
          <t>GIÁ SÀN</t>
        </is>
      </c>
      <c r="B7" s="14">
        <f>$B$6*$B$5</f>
        <v>0.11361512337662337</v>
      </c>
      <c r="C7" s="15" t="inlineStr">
        <is>
          <t>$ / job</t>
        </is>
      </c>
      <c r="D7" s="16" t="inlineStr"/>
      <c r="E7" s="7" t="n"/>
      <c r="F7" s="7" t="n"/>
      <c r="G7" s="8" t="n"/>
    </row>
    <row r="8" ht="15.5" customHeight="1">
      <c r="A8" s="18" t="inlineStr">
        <is>
          <t>Giá sàn quy đổi</t>
        </is>
      </c>
      <c r="B8" s="29">
        <f>$B$7*'1_Cost_Job'!$B$5</f>
        <v>2982.3969886363634</v>
      </c>
      <c r="C8" s="15" t="inlineStr">
        <is>
          <t>VND / job</t>
        </is>
      </c>
      <c r="D8" s="16" t="inlineStr"/>
      <c r="E8" s="7" t="n"/>
      <c r="F8" s="7" t="n"/>
      <c r="G8" s="8" t="n"/>
    </row>
    <row r="10" ht="18" customHeight="1">
      <c r="A10" s="3" t="inlineStr">
        <is>
          <t>B. Giá trần — neo theo giá trị hoặc theo nhân công</t>
        </is>
      </c>
      <c r="B10" s="4" t="n"/>
      <c r="C10" s="4" t="n"/>
      <c r="D10" s="4" t="n"/>
      <c r="E10" s="4" t="n"/>
      <c r="F10" s="4" t="n"/>
      <c r="G10" s="4" t="n"/>
    </row>
    <row r="11" ht="15.5" customHeight="1">
      <c r="A11" s="18" t="inlineStr">
        <is>
          <t>Lương 1 nhân viên nhập liệu bị thay thế</t>
        </is>
      </c>
      <c r="B11" s="23" t="n">
        <v>10000000</v>
      </c>
      <c r="C11" s="15" t="inlineStr">
        <is>
          <t>VND / tháng</t>
        </is>
      </c>
      <c r="D11" s="16" t="inlineStr">
        <is>
          <t>GIẢ ĐỊNH (lấy mức 10tr/tháng như ví dụ của đề). Cần xác minh qua phỏng vấn khách.</t>
        </is>
      </c>
      <c r="E11" s="7" t="n"/>
      <c r="F11" s="7" t="n"/>
      <c r="G11" s="8" t="n"/>
    </row>
    <row r="12" ht="15.5" customHeight="1">
      <c r="A12" s="18" t="inlineStr">
        <is>
          <t>Số hóa đơn 1 người xử lý được / tháng</t>
        </is>
      </c>
      <c r="B12" s="23" t="n">
        <v>1300</v>
      </c>
      <c r="C12" s="15" t="inlineStr">
        <is>
          <t>hóa đơn</t>
        </is>
      </c>
      <c r="D12" s="16" t="inlineStr">
        <is>
          <t>GIẢ ĐỊNH: ~60 hóa đơn/ngày × 22 ngày. Cần xác minh qua phỏng vấn khách.</t>
        </is>
      </c>
      <c r="E12" s="7" t="n"/>
      <c r="F12" s="7" t="n"/>
      <c r="G12" s="8" t="n"/>
    </row>
    <row r="13" ht="15.5" customHeight="1">
      <c r="A13" s="18" t="inlineStr">
        <is>
          <t>Chi phí người / hóa đơn</t>
        </is>
      </c>
      <c r="B13" s="29">
        <f>$B$11/$B$12</f>
        <v>7692.307692307692</v>
      </c>
      <c r="C13" s="15" t="inlineStr">
        <is>
          <t>VND / job</t>
        </is>
      </c>
      <c r="D13" s="16" t="inlineStr">
        <is>
          <t>Đây là thứ khách so sánh với giá của bạn — không phải ChatGPT $20.</t>
        </is>
      </c>
      <c r="E13" s="7" t="n"/>
      <c r="F13" s="7" t="n"/>
      <c r="G13" s="8" t="n"/>
    </row>
    <row r="14" ht="15.5" customHeight="1">
      <c r="A14" s="18" t="inlineStr">
        <is>
          <t>Neo nhân công — cận dưới</t>
        </is>
      </c>
      <c r="B14" s="28" t="n">
        <v>0.5</v>
      </c>
      <c r="C14" s="15" t="inlineStr">
        <is>
          <t>% lương</t>
        </is>
      </c>
      <c r="D14" s="16" t="inlineStr">
        <is>
          <t>Đề: charge 50–70% lương vị trí bị thay.</t>
        </is>
      </c>
      <c r="E14" s="7" t="n"/>
      <c r="F14" s="7" t="n"/>
      <c r="G14" s="8" t="n"/>
    </row>
    <row r="15" ht="15.5" customHeight="1">
      <c r="A15" s="18" t="inlineStr">
        <is>
          <t>Neo nhân công — cận trên</t>
        </is>
      </c>
      <c r="B15" s="28" t="n">
        <v>0.7</v>
      </c>
      <c r="C15" s="15" t="inlineStr">
        <is>
          <t>% lương</t>
        </is>
      </c>
      <c r="D15" s="16" t="inlineStr"/>
      <c r="E15" s="7" t="n"/>
      <c r="F15" s="7" t="n"/>
      <c r="G15" s="8" t="n"/>
    </row>
    <row r="16" ht="15.5" customHeight="1">
      <c r="A16" s="18" t="inlineStr">
        <is>
          <t>Neo nhân công: giá / job (dưới)</t>
        </is>
      </c>
      <c r="B16" s="29">
        <f>$B$13*$B$14</f>
        <v>3846.153846153846</v>
      </c>
      <c r="C16" s="15" t="inlineStr">
        <is>
          <t>VND / job</t>
        </is>
      </c>
      <c r="D16" s="16" t="inlineStr"/>
      <c r="E16" s="7" t="n"/>
      <c r="F16" s="7" t="n"/>
      <c r="G16" s="8" t="n"/>
    </row>
    <row r="17" ht="15.5" customHeight="1">
      <c r="A17" s="18" t="inlineStr">
        <is>
          <t>Neo nhân công: giá / job (trên)</t>
        </is>
      </c>
      <c r="B17" s="29">
        <f>$B$13*$B$15</f>
        <v>5384.615384615385</v>
      </c>
      <c r="C17" s="15" t="inlineStr">
        <is>
          <t>VND / job</t>
        </is>
      </c>
      <c r="D17" s="16" t="inlineStr"/>
      <c r="E17" s="7" t="n"/>
      <c r="F17" s="7" t="n"/>
      <c r="G17" s="8" t="n"/>
    </row>
    <row r="18" ht="29" customHeight="1">
      <c r="A18" s="18" t="inlineStr">
        <is>
          <t>Giá trị khác / job (sai sót tránh được, phạt chậm nộp...)</t>
        </is>
      </c>
      <c r="B18" s="23" t="n">
        <v>0</v>
      </c>
      <c r="C18" s="15" t="inlineStr">
        <is>
          <t>VND / job</t>
        </is>
      </c>
      <c r="D18" s="16" t="inlineStr">
        <is>
          <t>CHƯA ĐO — không tính, nên neo giá trị chỉ gồm tiết kiệm nhân công. Ô = 0 có lý do.</t>
        </is>
      </c>
      <c r="E18" s="7" t="n"/>
      <c r="F18" s="7" t="n"/>
      <c r="G18" s="8" t="n"/>
    </row>
    <row r="19" ht="15.5" customHeight="1">
      <c r="A19" s="18" t="inlineStr">
        <is>
          <t>Neo giá trị — cận dưới</t>
        </is>
      </c>
      <c r="B19" s="28" t="n">
        <v>0.1</v>
      </c>
      <c r="C19" s="15" t="inlineStr">
        <is>
          <t>% giá trị</t>
        </is>
      </c>
      <c r="D19" s="16" t="inlineStr">
        <is>
          <t>Đề: charge 10–25% giá trị tạo ra.</t>
        </is>
      </c>
      <c r="E19" s="7" t="n"/>
      <c r="F19" s="7" t="n"/>
      <c r="G19" s="8" t="n"/>
    </row>
    <row r="20" ht="15.5" customHeight="1">
      <c r="A20" s="18" t="inlineStr">
        <is>
          <t>Neo giá trị — cận trên</t>
        </is>
      </c>
      <c r="B20" s="28" t="n">
        <v>0.25</v>
      </c>
      <c r="C20" s="15" t="inlineStr">
        <is>
          <t>% giá trị</t>
        </is>
      </c>
      <c r="D20" s="16" t="inlineStr"/>
      <c r="E20" s="7" t="n"/>
      <c r="F20" s="7" t="n"/>
      <c r="G20" s="8" t="n"/>
    </row>
    <row r="21" ht="15.5" customHeight="1">
      <c r="A21" s="18" t="inlineStr">
        <is>
          <t>Neo giá trị: giá / job (dưới)</t>
        </is>
      </c>
      <c r="B21" s="29">
        <f>($B$13+$B$18)*$B$19</f>
        <v>769.2307692307693</v>
      </c>
      <c r="C21" s="15" t="inlineStr">
        <is>
          <t>VND / job</t>
        </is>
      </c>
      <c r="D21" s="16" t="inlineStr"/>
      <c r="E21" s="7" t="n"/>
      <c r="F21" s="7" t="n"/>
      <c r="G21" s="8" t="n"/>
    </row>
    <row r="22" ht="15.5" customHeight="1">
      <c r="A22" s="18" t="inlineStr">
        <is>
          <t>Neo giá trị: giá / job (trên)</t>
        </is>
      </c>
      <c r="B22" s="29">
        <f>($B$13+$B$18)*$B$20</f>
        <v>1923.076923076923</v>
      </c>
      <c r="C22" s="15" t="inlineStr">
        <is>
          <t>VND / job</t>
        </is>
      </c>
      <c r="D22" s="16" t="inlineStr"/>
      <c r="E22" s="7" t="n"/>
      <c r="F22" s="7" t="n"/>
      <c r="G22" s="8" t="n"/>
    </row>
    <row r="23" ht="15.5" customHeight="1">
      <c r="A23" s="18" t="inlineStr">
        <is>
          <t>Chênh nhau giữa hai neo (cận trên)</t>
        </is>
      </c>
      <c r="B23" s="40">
        <f>$B$17/$B$22</f>
        <v>2.8000000000000003</v>
      </c>
      <c r="C23" s="15" t="inlineStr">
        <is>
          <t>×</t>
        </is>
      </c>
      <c r="D23" s="16" t="inlineStr">
        <is>
          <t>Chênh nhiều → đề: chọn cái khách dễ tự kiểm chứng nhất.</t>
        </is>
      </c>
      <c r="E23" s="7" t="n"/>
      <c r="F23" s="7" t="n"/>
      <c r="G23" s="8" t="n"/>
    </row>
    <row r="24" ht="15.5" customHeight="1">
      <c r="A24" s="18" t="inlineStr">
        <is>
          <t>Neo đã chọn</t>
        </is>
      </c>
      <c r="B24" s="25" t="inlineStr">
        <is>
          <t>Nhân công</t>
        </is>
      </c>
      <c r="C24" s="15" t="inlineStr">
        <is>
          <t>chọn</t>
        </is>
      </c>
      <c r="D24" s="16" t="inlineStr">
        <is>
          <t>Lý do bên dưới.</t>
        </is>
      </c>
      <c r="E24" s="7" t="n"/>
      <c r="F24" s="7" t="n"/>
      <c r="G24" s="8" t="n"/>
    </row>
    <row r="25" ht="42.5" customHeight="1">
      <c r="A25" s="18" t="inlineStr">
        <is>
          <t>Lý do chọn neo</t>
        </is>
      </c>
      <c r="B25" s="25" t="str">
        <f>"Tôi neo giá theo lương người nhập liệu vì khách tự kiểm tra được con số này trên bảng lương của họ. ""Giá trị AI tạo ra"" thì họ phải tin vào ước tính của tôi. Giá đề xuất "&amp;ROUND($B$37,0)&amp;" đ/hóa đơn rẻ hơn thuê người khoảng "&amp;ROUND($B$40*100,0)&amp;"%, nằm giữa giá sàn ("&amp;ROUND($B$8,0)&amp;" đ) và giá trần ("&amp;ROUND($B$27,0)&amp;" đ)."</f>
        <v>Tôi neo giá theo lương người nhập liệu vì khách tự kiểm tra được con số này trên bảng lương của họ. "Giá trị AI tạo ra" thì họ phải tin vào ước tính của tôi. Giá đề xuất 3260 đ/hóa đơn rẻ hơn thuê người khoảng 58%, nằm giữa giá sàn (2982 đ) và giá trần (5385 đ).</v>
      </c>
      <c r="C25" s="7" t="n"/>
      <c r="D25" s="7" t="n"/>
      <c r="E25" s="7" t="n"/>
      <c r="F25" s="7" t="n"/>
      <c r="G25" s="8" t="n"/>
    </row>
    <row r="26" ht="26" customHeight="1">
      <c r="A26" s="26" t="inlineStr"/>
      <c r="B26" s="27" t="inlineStr">
        <is>
          <t>Lưu ý: neo giá trị cho giá trần THẤP HƠN giá sàn, nên đòn bẩy giảm Cost/Job (bảng model ở mục G) quan trọng hơn chuyện tăng giá.</t>
        </is>
      </c>
    </row>
    <row r="27" ht="15.5" customHeight="1">
      <c r="A27" s="13" t="inlineStr">
        <is>
          <t>GIÁ TRẦN (theo neo đã chọn, cận trên)</t>
        </is>
      </c>
      <c r="B27" s="41">
        <f>IF($B$24="Nhân công",$B$17,$B$22)</f>
        <v>5384.615384615385</v>
      </c>
      <c r="C27" s="15" t="inlineStr">
        <is>
          <t>VND / job</t>
        </is>
      </c>
      <c r="D27" s="16" t="inlineStr"/>
      <c r="E27" s="7" t="n"/>
      <c r="F27" s="7" t="n"/>
      <c r="G27" s="8" t="n"/>
    </row>
    <row r="28" ht="15.5" customHeight="1">
      <c r="A28" s="18" t="inlineStr">
        <is>
          <t>Giá trần quy đổi</t>
        </is>
      </c>
      <c r="B28" s="32">
        <f>$B$27/'1_Cost_Job'!$B$5</f>
        <v>0.20512820512820512</v>
      </c>
      <c r="C28" s="15" t="inlineStr">
        <is>
          <t>$ / job</t>
        </is>
      </c>
      <c r="D28" s="16" t="inlineStr"/>
      <c r="E28" s="7" t="n"/>
      <c r="F28" s="7" t="n"/>
      <c r="G28" s="8" t="n"/>
    </row>
    <row r="30" ht="18" customHeight="1">
      <c r="A30" s="3" t="inlineStr">
        <is>
          <t>C. Giá bán đề xuất — Hybrid (phí nền + theo hóa đơn hoàn thành vượt gói)</t>
        </is>
      </c>
      <c r="B30" s="4" t="n"/>
      <c r="C30" s="4" t="n"/>
      <c r="D30" s="4" t="n"/>
      <c r="E30" s="4" t="n"/>
      <c r="F30" s="4" t="n"/>
      <c r="G30" s="4" t="n"/>
    </row>
    <row r="31" ht="29" customHeight="1">
      <c r="A31" s="18" t="inlineStr">
        <is>
          <t>Phí nền / tháng</t>
        </is>
      </c>
      <c r="B31" s="23" t="n">
        <v>1100000</v>
      </c>
      <c r="C31" s="15" t="inlineStr">
        <is>
          <t>VND / khách</t>
        </is>
      </c>
      <c r="D31" s="16" t="inlineStr">
        <is>
          <t>Đổi lấy thứ cụ thể: kết nối phần mềm kế toán + SLA xử lý trong ngày + hạn mức hóa đơn trong gói.</t>
        </is>
      </c>
      <c r="E31" s="7" t="n"/>
      <c r="F31" s="7" t="n"/>
      <c r="G31" s="8" t="n"/>
    </row>
    <row r="32" ht="15.5" customHeight="1">
      <c r="A32" s="18" t="inlineStr">
        <is>
          <t>Số hóa đơn hoàn thành gồm trong gói</t>
        </is>
      </c>
      <c r="B32" s="23" t="n">
        <v>350</v>
      </c>
      <c r="C32" s="15" t="inlineStr">
        <is>
          <t>hóa đơn</t>
        </is>
      </c>
      <c r="D32" s="16" t="inlineStr"/>
      <c r="E32" s="7" t="n"/>
      <c r="F32" s="7" t="n"/>
      <c r="G32" s="8" t="n"/>
    </row>
    <row r="33" ht="15.5" customHeight="1">
      <c r="A33" s="18" t="inlineStr">
        <is>
          <t>Giá mỗi hóa đơn hoàn thành vượt gói</t>
        </is>
      </c>
      <c r="B33" s="23" t="n">
        <v>3500</v>
      </c>
      <c r="C33" s="15" t="inlineStr">
        <is>
          <t>VND / job</t>
        </is>
      </c>
      <c r="D33" s="16" t="inlineStr">
        <is>
          <t>Chỉ tính hóa đơn HOÀN THÀNH theo định nghĩa job ở 1_Cost_Job S1.</t>
        </is>
      </c>
      <c r="E33" s="7" t="n"/>
      <c r="F33" s="7" t="n"/>
      <c r="G33" s="8" t="n"/>
    </row>
    <row r="34" ht="15.5" customHeight="1">
      <c r="A34" s="18" t="inlineStr">
        <is>
          <t>Hóa đơn hoàn thành / khách / tháng (điển hình)</t>
        </is>
      </c>
      <c r="B34" s="23" t="n">
        <v>520</v>
      </c>
      <c r="C34" s="15" t="inlineStr">
        <is>
          <t>job</t>
        </is>
      </c>
      <c r="D34" s="16" t="inlineStr">
        <is>
          <t>= 650 hóa đơn thử × containment 80%. GIẢ ĐỊNH, cần xác minh với khách pilot.</t>
        </is>
      </c>
      <c r="E34" s="7" t="n"/>
      <c r="F34" s="7" t="n"/>
      <c r="G34" s="8" t="n"/>
    </row>
    <row r="35" ht="15.5" customHeight="1">
      <c r="A35" s="18" t="inlineStr">
        <is>
          <t>Doanh thu / khách / tháng</t>
        </is>
      </c>
      <c r="B35" s="29">
        <f>$B$31+MAX(0,$B$34-$B$32)*$B$33</f>
        <v>1695000.0</v>
      </c>
      <c r="C35" s="15" t="inlineStr">
        <is>
          <t>VND</t>
        </is>
      </c>
      <c r="D35" s="16" t="inlineStr"/>
      <c r="E35" s="7" t="n"/>
      <c r="F35" s="7" t="n"/>
      <c r="G35" s="8" t="n"/>
    </row>
    <row r="36" ht="15.5" customHeight="1">
      <c r="A36" s="18" t="inlineStr">
        <is>
          <t>ARPU / tháng</t>
        </is>
      </c>
      <c r="B36" s="20">
        <f>$B$35/'1_Cost_Job'!$B$5</f>
        <v>64.57142857142857</v>
      </c>
      <c r="C36" s="15" t="inlineStr">
        <is>
          <t>$ / tháng</t>
        </is>
      </c>
      <c r="D36" s="16" t="inlineStr">
        <is>
          <t>Dùng cho 4_Channel_Fit.</t>
        </is>
      </c>
      <c r="E36" s="7" t="n"/>
      <c r="F36" s="7" t="n"/>
      <c r="G36" s="8" t="n"/>
    </row>
    <row r="37" ht="15.5" customHeight="1">
      <c r="A37" s="18" t="inlineStr">
        <is>
          <t>Giá hiệu dụng / job hoàn thành</t>
        </is>
      </c>
      <c r="B37" s="29">
        <f>$B$35/$B$34</f>
        <v>3259.6153846153848</v>
      </c>
      <c r="C37" s="15" t="inlineStr">
        <is>
          <t>VND / job</t>
        </is>
      </c>
      <c r="D37" s="16" t="inlineStr"/>
      <c r="E37" s="7" t="n"/>
      <c r="F37" s="7" t="n"/>
      <c r="G37" s="8" t="n"/>
    </row>
    <row r="38" ht="15.5" customHeight="1">
      <c r="A38" s="13" t="inlineStr">
        <is>
          <t>GIÁ BÁN ĐỀ XUẤT (hiệu dụng)</t>
        </is>
      </c>
      <c r="B38" s="14">
        <f>$B$37/'1_Cost_Job'!$B$5</f>
        <v>0.12417582417582418</v>
      </c>
      <c r="C38" s="15" t="inlineStr">
        <is>
          <t>$ / job</t>
        </is>
      </c>
      <c r="D38" s="16" t="inlineStr"/>
      <c r="E38" s="7" t="n"/>
      <c r="F38" s="7" t="n"/>
      <c r="G38" s="8" t="n"/>
    </row>
    <row r="39" ht="15.5" customHeight="1">
      <c r="A39" s="18" t="inlineStr">
        <is>
          <t>Hóa đơn thử / khách / tháng</t>
        </is>
      </c>
      <c r="B39" s="29">
        <f>$B$34/'1_Cost_Job'!$B$22</f>
        <v>650.0</v>
      </c>
      <c r="C39" s="15" t="inlineStr">
        <is>
          <t>job</t>
        </is>
      </c>
      <c r="D39" s="16" t="inlineStr"/>
      <c r="E39" s="7" t="n"/>
      <c r="F39" s="7" t="n"/>
      <c r="G39" s="8" t="n"/>
    </row>
    <row r="40" ht="15.5" customHeight="1">
      <c r="A40" s="18" t="inlineStr">
        <is>
          <t>Rẻ hơn thuê người</t>
        </is>
      </c>
      <c r="B40" s="19">
        <f>1-$B$37/$B$13</f>
        <v>0.5762499999999999</v>
      </c>
      <c r="C40" s="15" t="inlineStr">
        <is>
          <t>%</t>
        </is>
      </c>
      <c r="D40" s="16" t="inlineStr">
        <is>
          <t>Đây là câu trả lời cho khách: so với lương nhân viên.</t>
        </is>
      </c>
      <c r="E40" s="7" t="n"/>
      <c r="F40" s="7" t="n"/>
      <c r="G40" s="8" t="n"/>
    </row>
    <row r="41" ht="29" customHeight="1">
      <c r="A41" s="18" t="inlineStr">
        <is>
          <t>Giá ≥ giá sàn (3 × Cost/Job)?</t>
        </is>
      </c>
      <c r="B41" s="22" t="str">
        <f>IF($B$38&gt;=$B$7,"✓ Giá đề xuất ≥ giá sàn","✗ Giá đề xuất &lt; giá sàn — quay lại Tab 1, đừng sửa giá cho đẹp")</f>
        <v>✓ Giá đề xuất ≥ giá sàn</v>
      </c>
      <c r="C41" s="7" t="n"/>
      <c r="D41" s="7" t="n"/>
      <c r="E41" s="7" t="n"/>
      <c r="F41" s="7" t="n"/>
      <c r="G41" s="8" t="n"/>
    </row>
    <row r="42" ht="29" customHeight="1">
      <c r="A42" s="18" t="inlineStr">
        <is>
          <t>Giá ≤ giá trần?</t>
        </is>
      </c>
      <c r="B42" s="22" t="str">
        <f>IF($B$38&lt;=$B$28,"✓ Giá đề xuất nằm trong vùng giá bán (sàn → trần)","~ Giá đề xuất vượt giá trần theo neo đã chọn")</f>
        <v>✓ Giá đề xuất nằm trong vùng giá bán (sàn → trần)</v>
      </c>
      <c r="C42" s="7" t="n"/>
      <c r="D42" s="7" t="n"/>
      <c r="E42" s="7" t="n"/>
      <c r="F42" s="7" t="n"/>
      <c r="G42" s="8" t="n"/>
    </row>
    <row r="44" ht="18" customHeight="1">
      <c r="A44" s="3" t="inlineStr">
        <is>
          <t>D. Gross Margin</t>
        </is>
      </c>
      <c r="B44" s="4" t="n"/>
      <c r="C44" s="4" t="n"/>
      <c r="D44" s="4" t="n"/>
      <c r="E44" s="4" t="n"/>
      <c r="F44" s="4" t="n"/>
      <c r="G44" s="4" t="n"/>
    </row>
    <row r="45" ht="15.5" customHeight="1">
      <c r="A45" s="18" t="inlineStr">
        <is>
          <t>Mục tiêu GM</t>
        </is>
      </c>
      <c r="B45" s="28" t="n">
        <v>0.6</v>
      </c>
      <c r="C45" s="15" t="inlineStr">
        <is>
          <t>%</t>
        </is>
      </c>
      <c r="D45" s="16" t="inlineStr">
        <is>
          <t>Dưới 50% là vùng nguy hiểm; trên 85% gần như chắc chắn là quên chi phí.</t>
        </is>
      </c>
      <c r="E45" s="7" t="n"/>
      <c r="F45" s="7" t="n"/>
      <c r="G45" s="8" t="n"/>
    </row>
    <row r="46" ht="15.5" customHeight="1">
      <c r="A46" s="18" t="inlineStr">
        <is>
          <t>GM — Biến thể A</t>
        </is>
      </c>
      <c r="B46" s="19">
        <f>1-'1_Cost_Job'!$B$88/$B$38</f>
        <v>0.6950154505229285</v>
      </c>
      <c r="C46" s="15" t="inlineStr">
        <is>
          <t>%</t>
        </is>
      </c>
      <c r="D46" s="16" t="inlineStr"/>
      <c r="E46" s="7" t="n"/>
      <c r="F46" s="7" t="n"/>
      <c r="G46" s="8" t="n"/>
    </row>
    <row r="47" ht="15.5" customHeight="1">
      <c r="A47" s="18" t="inlineStr">
        <is>
          <t>GM — Biến thể B</t>
        </is>
      </c>
      <c r="B47" s="19">
        <f>1-'1_Cost_Job'!$C$88/$B$38</f>
        <v>0.17208705148833459</v>
      </c>
      <c r="C47" s="15" t="inlineStr">
        <is>
          <t>%</t>
        </is>
      </c>
      <c r="D47" s="16" t="inlineStr">
        <is>
          <t>Cho thấy chọn sai biến thể → Cost/Job sai vài lần.</t>
        </is>
      </c>
      <c r="E47" s="7" t="n"/>
      <c r="F47" s="7" t="n"/>
      <c r="G47" s="8" t="n"/>
    </row>
    <row r="48" ht="15.5" customHeight="1">
      <c r="A48" s="13" t="inlineStr">
        <is>
          <t>GROSS MARGIN — biến thể đang chọn</t>
        </is>
      </c>
      <c r="B48" s="17">
        <f>IF('1_Cost_Job'!$B$8="A",$B$46,$B$47)</f>
        <v>0.6950154505229285</v>
      </c>
      <c r="C48" s="15" t="inlineStr">
        <is>
          <t>%</t>
        </is>
      </c>
      <c r="D48" s="16" t="inlineStr"/>
      <c r="E48" s="7" t="n"/>
      <c r="F48" s="7" t="n"/>
      <c r="G48" s="8" t="n"/>
    </row>
    <row r="49" ht="29" customHeight="1">
      <c r="A49" s="18" t="inlineStr">
        <is>
          <t>Đánh giá GM</t>
        </is>
      </c>
      <c r="B49" s="22" t="str">
        <f>IF($B$48&gt;0.85,"✗ GM &gt; 85%: gần như chắc chắn quên một khoản chi phí",IF($B$48&gt;=$B$45,"✓ GM đạt mục tiêu ≥ 60%",IF($B$48&gt;=0.5,"~ GM 50–60%: cần kế hoạch cải thiện","✗ GM &lt; 50%: vùng nguy hiểm")))</f>
        <v>✓ GM đạt mục tiêu ≥ 60%</v>
      </c>
      <c r="C49" s="7" t="n"/>
      <c r="D49" s="7" t="n"/>
      <c r="E49" s="7" t="n"/>
      <c r="F49" s="7" t="n"/>
      <c r="G49" s="8" t="n"/>
    </row>
    <row r="50" ht="29" customHeight="1">
      <c r="A50" s="18" t="inlineStr">
        <is>
          <t>Phí cổng thanh toán (ước tính, chưa đưa vào Cost/Job)</t>
        </is>
      </c>
      <c r="B50" s="28" t="n">
        <v>0.025</v>
      </c>
      <c r="C50" s="15" t="inlineStr">
        <is>
          <t>% doanh thu</t>
        </is>
      </c>
      <c r="D50" s="16" t="inlineStr">
        <is>
          <t>Từ vòng phản biện (Prompt_Log.md, 4.7.1): khoản này chưa nằm trong 5 thành phần của đề. ƯỚC TÍNH, chưa xác minh với cổng thanh toán.</t>
        </is>
      </c>
      <c r="E50" s="7" t="n"/>
      <c r="F50" s="7" t="n"/>
      <c r="G50" s="8" t="n"/>
    </row>
    <row r="51" ht="15.5" customHeight="1">
      <c r="A51" s="18" t="inlineStr">
        <is>
          <t>GM sau phí cổng thanh toán</t>
        </is>
      </c>
      <c r="B51" s="19">
        <f>$B$48-$B$50</f>
        <v>0.6700154505229284</v>
      </c>
      <c r="C51" s="15" t="inlineStr">
        <is>
          <t>%</t>
        </is>
      </c>
      <c r="D51" s="16" t="inlineStr"/>
      <c r="E51" s="7" t="n"/>
      <c r="F51" s="7" t="n"/>
      <c r="G51" s="8" t="n"/>
    </row>
    <row r="52" ht="15.5" customHeight="1">
      <c r="A52" s="18" t="inlineStr">
        <is>
          <t>GM sau overhead (tham khảo)</t>
        </is>
      </c>
      <c r="B52" s="19">
        <f>1-'1_Cost_Job'!$B$95/$B$38</f>
        <v>-0.45542702735317775</v>
      </c>
      <c r="C52" s="15" t="inlineStr">
        <is>
          <t>%</t>
        </is>
      </c>
      <c r="D52" s="16" t="inlineStr">
        <is>
          <t>Âm = ở quy mô hiện tại overhead chưa được phủ.</t>
        </is>
      </c>
      <c r="E52" s="7" t="n"/>
      <c r="F52" s="7" t="n"/>
      <c r="G52" s="8" t="n"/>
    </row>
    <row r="53" ht="15.5" customHeight="1">
      <c r="A53" s="18" t="inlineStr">
        <is>
          <t>Số job hoàn thành / tháng để phủ overhead</t>
        </is>
      </c>
      <c r="B53" s="29">
        <f>IF($B$38&gt;'1_Cost_Job'!$B$94,'1_Cost_Job'!$B$75/($B$38-'1_Cost_Job'!$B$94),0)</f>
        <v>13242.208955332033</v>
      </c>
      <c r="C53" s="15" t="inlineStr">
        <is>
          <t>job</t>
        </is>
      </c>
      <c r="D53" s="16" t="inlineStr">
        <is>
          <t>= Overhead / (giá − Cost/Job).</t>
        </is>
      </c>
      <c r="E53" s="7" t="n"/>
      <c r="F53" s="7" t="n"/>
      <c r="G53" s="8" t="n"/>
    </row>
    <row r="54" ht="29" customHeight="1">
      <c r="A54" s="18" t="inlineStr">
        <is>
          <t>Tương đương số khách trả phí</t>
        </is>
      </c>
      <c r="B54" s="42">
        <f>$B$53/'1_Cost_Job'!$B$22/$B$39</f>
        <v>25.4657864525616</v>
      </c>
      <c r="C54" s="15" t="inlineStr">
        <is>
          <t>khách</t>
        </is>
      </c>
      <c r="D54" s="16" t="inlineStr">
        <is>
          <t>So với mục tiêu tháng 3 ở 5_90Day_Plan: chưa phủ overhead trong 90 ngày — chấp nhận được ở giai đoạn học, nhưng phải nói rõ.</t>
        </is>
      </c>
      <c r="E54" s="7" t="n"/>
      <c r="F54" s="7" t="n"/>
      <c r="G54" s="8" t="n"/>
    </row>
    <row r="56" ht="18" customHeight="1">
      <c r="A56" s="3" t="inlineStr">
        <is>
          <t>E. Breakeven containment — containment tối thiểu để GM ≥ mục tiêu (nghiệm đóng, không cần Goal Seek)</t>
        </is>
      </c>
      <c r="B56" s="4" t="n"/>
      <c r="C56" s="4" t="n"/>
      <c r="D56" s="4" t="n"/>
      <c r="E56" s="4" t="n"/>
      <c r="F56" s="4" t="n"/>
      <c r="G56" s="4" t="n"/>
    </row>
    <row r="57" ht="27" customHeight="1">
      <c r="A57" s="27" t="inlineStr">
        <is>
          <t>Đặt F = API + Retry + Infra (cố định theo job THỬ N), h = QA nội bộ / job hoàn thành, e = chi phí xử lý tay / job escalate (chỉ Biến thể B), P = giá, g = mục tiêu GM, R = containment.</t>
        </is>
      </c>
    </row>
    <row r="58" ht="27" customHeight="1">
      <c r="A58" s="27" t="inlineStr">
        <is>
          <t>Biến thể A: Cost/Job(R) = F/(N·R) + h ≤ (1−g)·P  ⇒  R ≥ F / [ N · ((1−g)·P − h) ].   Biến thể B: Cost/Job(R) = (F + e·N)/(N·R) + (h − e) ≤ (1−g)·P  ⇒  R ≥ (F + e·N) / [ N · ((1−g)·P − (h − e)) ].</t>
        </is>
      </c>
    </row>
    <row r="59" ht="15.5" customHeight="1">
      <c r="A59" s="18" t="inlineStr">
        <is>
          <t>F = API + Retry + Infra / tháng</t>
        </is>
      </c>
      <c r="B59" s="20">
        <f>'1_Cost_Job'!$B$79+'1_Cost_Job'!$B$80+'1_Cost_Job'!$B$81</f>
        <v>240.63600000000002</v>
      </c>
      <c r="C59" s="15" t="inlineStr">
        <is>
          <t>$ / tháng</t>
        </is>
      </c>
      <c r="D59" s="16" t="inlineStr"/>
      <c r="E59" s="7" t="n"/>
      <c r="F59" s="7" t="n"/>
      <c r="G59" s="8" t="n"/>
    </row>
    <row r="60" ht="15.5" customHeight="1">
      <c r="A60" s="18" t="inlineStr">
        <is>
          <t>h = QA nội bộ / job hoàn thành</t>
        </is>
      </c>
      <c r="B60" s="32">
        <f>'1_Cost_Job'!$B$68*'1_Cost_Job'!$B$69/60*'1_Cost_Job'!$B$67</f>
        <v>0.007792207792207793</v>
      </c>
      <c r="C60" s="15" t="inlineStr">
        <is>
          <t>$ / job</t>
        </is>
      </c>
      <c r="D60" s="16" t="inlineStr"/>
      <c r="E60" s="7" t="n"/>
      <c r="F60" s="7" t="n"/>
      <c r="G60" s="8" t="n"/>
    </row>
    <row r="61" ht="15.5" customHeight="1">
      <c r="A61" s="18" t="inlineStr">
        <is>
          <t>e = xử lý tay / job escalate</t>
        </is>
      </c>
      <c r="B61" s="32">
        <f>'1_Cost_Job'!$B$70/60*'1_Cost_Job'!$B$67</f>
        <v>0.25974025974025977</v>
      </c>
      <c r="C61" s="15" t="inlineStr">
        <is>
          <t>$ / job</t>
        </is>
      </c>
      <c r="D61" s="16" t="inlineStr"/>
      <c r="E61" s="7" t="n"/>
      <c r="F61" s="7" t="n"/>
      <c r="G61" s="8" t="n"/>
    </row>
    <row r="62" ht="15.5" customHeight="1">
      <c r="A62" s="18" t="inlineStr">
        <is>
          <t>Breakeven containment — Biến thể A</t>
        </is>
      </c>
      <c r="B62" s="19">
        <f>IF((1-$B$45)*$B$38-$B$60&lt;=0,9.99,$B$59/('1_Cost_Job'!$B$21*((1-$B$45)*$B$38-$B$60)))</f>
        <v>0.5746102958015268</v>
      </c>
      <c r="C62" s="15" t="inlineStr">
        <is>
          <t>%</t>
        </is>
      </c>
      <c r="D62" s="16" t="inlineStr">
        <is>
          <t>9,99 = không đạt được dù containment 100%.</t>
        </is>
      </c>
      <c r="E62" s="7" t="n"/>
      <c r="F62" s="7" t="n"/>
      <c r="G62" s="8" t="n"/>
    </row>
    <row r="63" ht="15.5" customHeight="1">
      <c r="A63" s="18" t="inlineStr">
        <is>
          <t>Breakeven containment — Biến thể B</t>
        </is>
      </c>
      <c r="B63" s="19">
        <f>IF((1-$B$45)*$B$38-($B$60-$B$61)&lt;=0,9.99,($B$59+$B$61*'1_Cost_Job'!$B$21)/('1_Cost_Job'!$B$21*((1-$B$45)*$B$38-($B$60-$B$61))))</f>
        <v>0.9409368826179119</v>
      </c>
      <c r="C63" s="15" t="inlineStr">
        <is>
          <t>%</t>
        </is>
      </c>
      <c r="D63" s="16" t="inlineStr"/>
      <c r="E63" s="7" t="n"/>
      <c r="F63" s="7" t="n"/>
      <c r="G63" s="8" t="n"/>
    </row>
    <row r="64" ht="15.5" customHeight="1">
      <c r="A64" s="13" t="inlineStr">
        <is>
          <t>BREAKEVEN CONTAINMENT — biến thể đang chọn</t>
        </is>
      </c>
      <c r="B64" s="17">
        <f>IF('1_Cost_Job'!$B$8="A",$B$62,$B$63)</f>
        <v>0.5746102958015268</v>
      </c>
      <c r="C64" s="15" t="inlineStr">
        <is>
          <t>%</t>
        </is>
      </c>
      <c r="D64" s="16" t="inlineStr"/>
      <c r="E64" s="7" t="n"/>
      <c r="F64" s="7" t="n"/>
      <c r="G64" s="8" t="n"/>
    </row>
    <row r="65" ht="15.5" customHeight="1">
      <c r="A65" s="18" t="inlineStr">
        <is>
          <t>Containment hiện tại (ước tính — chưa có eval)</t>
        </is>
      </c>
      <c r="B65" s="19">
        <f>'1_Cost_Job'!$B$22</f>
        <v>0.8</v>
      </c>
      <c r="C65" s="15" t="inlineStr">
        <is>
          <t>%</t>
        </is>
      </c>
      <c r="D65" s="16" t="inlineStr">
        <is>
          <t>Liên kết từ 1_Cost_Job S2. Khi có eval, thay số ở đó.</t>
        </is>
      </c>
      <c r="E65" s="7" t="n"/>
      <c r="F65" s="7" t="n"/>
      <c r="G65" s="8" t="n"/>
    </row>
    <row r="66" ht="15.5" customHeight="1">
      <c r="A66" s="18" t="inlineStr">
        <is>
          <t>Biên an toàn</t>
        </is>
      </c>
      <c r="B66" s="19">
        <f>$B$65-$B$64</f>
        <v>0.22538970419847326</v>
      </c>
      <c r="C66" s="15" t="inlineStr">
        <is>
          <t>điểm %</t>
        </is>
      </c>
      <c r="D66" s="16" t="inlineStr"/>
      <c r="E66" s="7" t="n"/>
      <c r="F66" s="7" t="n"/>
      <c r="G66" s="8" t="n"/>
    </row>
    <row r="67" ht="29" customHeight="1">
      <c r="A67" s="18" t="inlineStr">
        <is>
          <t>Đối chiếu với eval</t>
        </is>
      </c>
      <c r="B67" s="22" t="str">
        <f>IF($B$65&lt;$B$64,"✗ DƯỚI ngưỡng: mô hình lỗ ở GM mục tiêu. Hành động: tăng containment, tăng giá, hoặc đổi biến thể HITL.",IF($B$66&lt;0.1,"~ Trên ngưỡng nhưng biên an toàn &lt; 10 điểm %","✓ Trên ngưỡng với biên an toàn ≥ 10 điểm %. Lưu ý containment hiện tại là ước tính, chưa đo."))</f>
        <v>✓ Trên ngưỡng với biên an toàn ≥ 10 điểm %. Lưu ý containment hiện tại là ước tính, chưa đo.</v>
      </c>
      <c r="C67" s="7" t="n"/>
      <c r="D67" s="7" t="n"/>
      <c r="E67" s="7" t="n"/>
      <c r="F67" s="7" t="n"/>
      <c r="G67" s="8" t="n"/>
    </row>
    <row r="69" ht="18" customHeight="1">
      <c r="A69" s="3" t="inlineStr">
        <is>
          <t>F. Bảng sensitivity — Cost/Job và GM theo containment</t>
        </is>
      </c>
      <c r="B69" s="4" t="n"/>
      <c r="C69" s="4" t="n"/>
      <c r="D69" s="4" t="n"/>
      <c r="E69" s="4" t="n"/>
      <c r="F69" s="4" t="n"/>
      <c r="G69" s="4" t="n"/>
    </row>
    <row r="70" ht="15.5" customHeight="1">
      <c r="A70" s="35" t="inlineStr">
        <is>
          <t>Kịch bản</t>
        </is>
      </c>
      <c r="B70" s="36" t="inlineStr">
        <is>
          <t>Containment</t>
        </is>
      </c>
      <c r="C70" s="36" t="inlineStr">
        <is>
          <t>Cost/Job A</t>
        </is>
      </c>
      <c r="D70" s="36" t="inlineStr">
        <is>
          <t>GM A</t>
        </is>
      </c>
      <c r="E70" s="36" t="inlineStr">
        <is>
          <t>Cost/Job B</t>
        </is>
      </c>
      <c r="F70" s="36" t="inlineStr">
        <is>
          <t>GM B</t>
        </is>
      </c>
      <c r="G70" s="36" t="inlineStr">
        <is>
          <t>Ghi chú</t>
        </is>
      </c>
    </row>
    <row r="71">
      <c r="A71" s="18" t="inlineStr">
        <is>
          <t>Containment 50%</t>
        </is>
      </c>
      <c r="B71" s="19" t="n">
        <v>0.5</v>
      </c>
      <c r="C71" s="32">
        <f>$B$59/('1_Cost_Job'!$B$21*B71)+$B$60</f>
        <v>0.0559194077922078</v>
      </c>
      <c r="D71" s="19">
        <f>1-C71/$B$38</f>
        <v>0.5496755655671761</v>
      </c>
      <c r="E71" s="32">
        <f>($B$59+$B$61*'1_Cost_Job'!$B$21)/('1_Cost_Job'!$B$21*B71)+($B$60-$B$61)</f>
        <v>0.3156596675324675</v>
      </c>
      <c r="F71" s="19">
        <f>1-E71/$B$38</f>
        <v>-1.5420380305711983</v>
      </c>
      <c r="G71" s="16" t="inlineStr"/>
    </row>
    <row r="72">
      <c r="A72" s="18" t="inlineStr">
        <is>
          <t>Containment 60%</t>
        </is>
      </c>
      <c r="B72" s="19" t="n">
        <v>0.6</v>
      </c>
      <c r="C72" s="32">
        <f>$B$59/('1_Cost_Job'!$B$21*B72)+$B$60</f>
        <v>0.0478982077922078</v>
      </c>
      <c r="D72" s="19">
        <f>1-C72/$B$38</f>
        <v>0.6142710699919549</v>
      </c>
      <c r="E72" s="32">
        <f>($B$59+$B$61*'1_Cost_Job'!$B$21)/('1_Cost_Job'!$B$21*B72)+($B$60-$B$61)</f>
        <v>0.22105838095238095</v>
      </c>
      <c r="F72" s="19">
        <f>1-E72/$B$38</f>
        <v>-0.7802046607669615</v>
      </c>
      <c r="G72" s="16" t="inlineStr"/>
    </row>
    <row r="73">
      <c r="A73" s="18" t="inlineStr">
        <is>
          <t>Containment 70%</t>
        </is>
      </c>
      <c r="B73" s="19" t="n">
        <v>0.7</v>
      </c>
      <c r="C73" s="32">
        <f>$B$59/('1_Cost_Job'!$B$21*B73)+$B$60</f>
        <v>0.042168779220779225</v>
      </c>
      <c r="D73" s="19">
        <f>1-C73/$B$38</f>
        <v>0.6604107160096541</v>
      </c>
      <c r="E73" s="32">
        <f>($B$59+$B$61*'1_Cost_Job'!$B$21)/('1_Cost_Job'!$B$21*B73)+($B$60-$B$61)</f>
        <v>0.15348603339517625</v>
      </c>
      <c r="F73" s="19">
        <f>1-E73/$B$38</f>
        <v>-0.23603796804964938</v>
      </c>
      <c r="G73" s="16" t="inlineStr"/>
    </row>
    <row r="74">
      <c r="A74" s="18" t="inlineStr">
        <is>
          <t>Containment 80%</t>
        </is>
      </c>
      <c r="B74" s="19" t="n">
        <v>0.8</v>
      </c>
      <c r="C74" s="32">
        <f>$B$59/('1_Cost_Job'!$B$21*B74)+$B$60</f>
        <v>0.0378717077922078</v>
      </c>
      <c r="D74" s="19">
        <f>1-C74/$B$38</f>
        <v>0.6950154505229283</v>
      </c>
      <c r="E74" s="32">
        <f>($B$59+$B$61*'1_Cost_Job'!$B$21)/('1_Cost_Job'!$B$21*B74)+($B$60-$B$61)</f>
        <v>0.10280677272727273</v>
      </c>
      <c r="F74" s="19">
        <f>1-E74/$B$38</f>
        <v>0.1720870514883347</v>
      </c>
      <c r="G74" s="16" t="inlineStr"/>
    </row>
    <row r="75">
      <c r="A75" s="18" t="inlineStr">
        <is>
          <t>Containment 90%</t>
        </is>
      </c>
      <c r="B75" s="19" t="n">
        <v>0.9</v>
      </c>
      <c r="C75" s="32">
        <f>$B$59/('1_Cost_Job'!$B$21*B75)+$B$60</f>
        <v>0.03452954112554113</v>
      </c>
      <c r="D75" s="19">
        <f>1-C75/$B$38</f>
        <v>0.7219302440332529</v>
      </c>
      <c r="E75" s="32">
        <f>($B$59+$B$61*'1_Cost_Job'!$B$21)/('1_Cost_Job'!$B$21*B75)+($B$60-$B$61)</f>
        <v>0.06338956998557</v>
      </c>
      <c r="F75" s="19">
        <f>1-E75/$B$38</f>
        <v>0.4895176222401001</v>
      </c>
      <c r="G75" s="16" t="inlineStr"/>
    </row>
    <row r="76">
      <c r="A76" s="13" t="inlineStr">
        <is>
          <t>Hiện tại (ước tính)</t>
        </is>
      </c>
      <c r="B76" s="19">
        <f>'1_Cost_Job'!$B$22</f>
        <v>0.8</v>
      </c>
      <c r="C76" s="32">
        <f>$B$59/('1_Cost_Job'!$B$21*B76)+$B$60</f>
        <v>0.0378717077922078</v>
      </c>
      <c r="D76" s="19">
        <f>1-C76/$B$38</f>
        <v>0.6950154505229283</v>
      </c>
      <c r="E76" s="32">
        <f>($B$59+$B$61*'1_Cost_Job'!$B$21)/('1_Cost_Job'!$B$21*B76)+($B$60-$B$61)</f>
        <v>0.10280677272727273</v>
      </c>
      <c r="F76" s="19">
        <f>1-E76/$B$38</f>
        <v>0.1720870514883347</v>
      </c>
      <c r="G76" s="16" t="inlineStr">
        <is>
          <t>Khớp Tab 1 (kiểm chứng chéo)</t>
        </is>
      </c>
    </row>
    <row r="77" ht="14.5" customHeight="1">
      <c r="A77" s="27" t="inlineStr">
        <is>
          <t>Ô xanh = GM ≥ mục tiêu · vàng = 50–60% · đỏ = &lt; 50% · cam = &gt; 85% (nghi quên chi phí).</t>
        </is>
      </c>
    </row>
    <row r="79" ht="18" customHeight="1">
      <c r="A79" s="3" t="inlineStr">
        <is>
          <t>G. Stress test giá — đổi model LLM (Prompt 4.7.1 mục 4: giá nào có thể đổi trong 6 tháng?)</t>
        </is>
      </c>
      <c r="B79" s="4" t="n"/>
      <c r="C79" s="4" t="n"/>
      <c r="D79" s="4" t="n"/>
      <c r="E79" s="4" t="n"/>
      <c r="F79" s="4" t="n"/>
      <c r="G79" s="4" t="n"/>
    </row>
    <row r="80" ht="29" customHeight="1">
      <c r="A80" s="35" t="inlineStr">
        <is>
          <t>Model LLM (giá ở 6_Benchmarks)</t>
        </is>
      </c>
      <c r="B80" s="36" t="inlineStr">
        <is>
          <t>LLM $ / job</t>
        </is>
      </c>
      <c r="C80" s="36" t="inlineStr">
        <is>
          <t>Cost/Job</t>
        </is>
      </c>
      <c r="D80" s="36" t="inlineStr">
        <is>
          <t>Giá sàn 3×</t>
        </is>
      </c>
      <c r="E80" s="36" t="inlineStr">
        <is>
          <t>GM @ giá đề xuất</t>
        </is>
      </c>
      <c r="F80" s="36" t="inlineStr">
        <is>
          <t>GM ≥ 60%?</t>
        </is>
      </c>
      <c r="G80" s="36" t="inlineStr">
        <is>
          <t>Ghi chú</t>
        </is>
      </c>
    </row>
    <row r="81" ht="42.5" customHeight="1">
      <c r="A81" s="13" t="inlineStr">
        <is>
          <t>Claude Haiku 5.5</t>
        </is>
      </c>
      <c r="B81" s="32">
        <f>('1_Cost_Job'!$B$33*(INDEX('6_Benchmarks'!$C$6:$C$12,MATCH($A81,'6_Benchmarks'!$A$6:$A$12,0))+('1_Cost_Job'!$B$37-1)*INDEX('6_Benchmarks'!$D$6:$D$12,MATCH($A81,'6_Benchmarks'!$A$6:$A$12,0)))/'1_Cost_Job'!$B$36+'1_Cost_Job'!$B$32*'1_Cost_Job'!$B$34*INDEX('6_Benchmarks'!$B$6:$B$12,MATCH($A81,'6_Benchmarks'!$A$6:$A$12,0))+'1_Cost_Job'!$B$32*'1_Cost_Job'!$B$35*INDEX('6_Benchmarks'!$E$6:$E$12,MATCH($A81,'6_Benchmarks'!$A$6:$A$12,0)))/1000000</f>
        <v>0.000823</v>
      </c>
      <c r="C81" s="32">
        <f>('1_Cost_Job'!$B$21*(B81+'1_Cost_Job'!$B$51)*(1+'1_Cost_Job'!$B$61)+'1_Cost_Job'!$B$81+'1_Cost_Job'!$B$97)/'1_Cost_Job'!$B$23</f>
        <v>0.01826797029220779</v>
      </c>
      <c r="D81" s="32">
        <f>$B$6*C81</f>
        <v>0.05480391087662337</v>
      </c>
      <c r="E81" s="19">
        <f>1-C81/$B$38</f>
        <v>0.8528862569388576</v>
      </c>
      <c r="F81" s="43" t="str">
        <f>IF(AND(E81&gt;=$B$45,E81&lt;=0.85),"✓",IF(E81&gt;0.85,"~ &gt;85%","✗"))</f>
        <v>~ &gt;85%</v>
      </c>
      <c r="G81" s="16" t="inlineStr">
        <is>
          <t>Rẻ hơn ~19× token nhưng chất lượng hạch toán CHƯA kiểm chứng; khi đó GM &gt; 85% → phải rà lại chi phí.</t>
        </is>
      </c>
    </row>
    <row r="82" ht="15.5" customHeight="1">
      <c r="A82" s="13" t="inlineStr">
        <is>
          <t>Claude Haiku 4.5</t>
        </is>
      </c>
      <c r="B82" s="32">
        <f>('1_Cost_Job'!$B$33*(INDEX('6_Benchmarks'!$C$6:$C$12,MATCH($A82,'6_Benchmarks'!$A$6:$A$12,0))+('1_Cost_Job'!$B$37-1)*INDEX('6_Benchmarks'!$D$6:$D$12,MATCH($A82,'6_Benchmarks'!$A$6:$A$12,0)))/'1_Cost_Job'!$B$36+'1_Cost_Job'!$B$32*'1_Cost_Job'!$B$34*INDEX('6_Benchmarks'!$B$6:$B$12,MATCH($A82,'6_Benchmarks'!$A$6:$A$12,0))+'1_Cost_Job'!$B$32*'1_Cost_Job'!$B$35*INDEX('6_Benchmarks'!$E$6:$E$12,MATCH($A82,'6_Benchmarks'!$A$6:$A$12,0)))/1000000</f>
        <v>0.00823</v>
      </c>
      <c r="C82" s="32">
        <f>('1_Cost_Job'!$B$21*(B82+'1_Cost_Job'!$B$51)*(1+'1_Cost_Job'!$B$61)+'1_Cost_Job'!$B$81+'1_Cost_Job'!$B$97)/'1_Cost_Job'!$B$23</f>
        <v>0.028174832792207796</v>
      </c>
      <c r="D82" s="32">
        <f>$B$6*C82</f>
        <v>0.08452449837662339</v>
      </c>
      <c r="E82" s="19">
        <f>1-C82/$B$38</f>
        <v>0.7731053288415124</v>
      </c>
      <c r="F82" s="43" t="str">
        <f>IF(AND(E82&gt;=$B$45,E82&lt;=0.85),"✓",IF(E82&gt;0.85,"~ &gt;85%","✗"))</f>
        <v>✓</v>
      </c>
      <c r="G82" s="16" t="inlineStr"/>
    </row>
    <row r="83" ht="15.5" customHeight="1">
      <c r="A83" s="13" t="inlineStr">
        <is>
          <t>Claude Sonnet 5.5</t>
        </is>
      </c>
      <c r="B83" s="32">
        <f>('1_Cost_Job'!$B$33*(INDEX('6_Benchmarks'!$C$6:$C$12,MATCH($A83,'6_Benchmarks'!$A$6:$A$12,0))+('1_Cost_Job'!$B$37-1)*INDEX('6_Benchmarks'!$D$6:$D$12,MATCH($A83,'6_Benchmarks'!$A$6:$A$12,0)))/'1_Cost_Job'!$B$36+'1_Cost_Job'!$B$32*'1_Cost_Job'!$B$34*INDEX('6_Benchmarks'!$B$6:$B$12,MATCH($A83,'6_Benchmarks'!$A$6:$A$12,0))+'1_Cost_Job'!$B$32*'1_Cost_Job'!$B$35*INDEX('6_Benchmarks'!$E$6:$E$12,MATCH($A83,'6_Benchmarks'!$A$6:$A$12,0)))/1000000</f>
        <v>0.01548</v>
      </c>
      <c r="C83" s="32">
        <f>('1_Cost_Job'!$B$21*(B83+'1_Cost_Job'!$B$51)*(1+'1_Cost_Job'!$B$61)+'1_Cost_Job'!$B$81+'1_Cost_Job'!$B$97)/'1_Cost_Job'!$B$23</f>
        <v>0.03787170779220779</v>
      </c>
      <c r="D83" s="32">
        <f>$B$6*C83</f>
        <v>0.11361512337662337</v>
      </c>
      <c r="E83" s="19">
        <f>1-C83/$B$38</f>
        <v>0.6950154505229285</v>
      </c>
      <c r="F83" s="43" t="str">
        <f>IF(AND(E83&gt;=$B$45,E83&lt;=0.85),"✓",IF(E83&gt;0.85,"~ &gt;85%","✗"))</f>
        <v>✓</v>
      </c>
      <c r="G83" s="16" t="inlineStr">
        <is>
          <t>Base case.</t>
        </is>
      </c>
    </row>
    <row r="84" ht="15.5" customHeight="1">
      <c r="A84" s="13" t="inlineStr">
        <is>
          <t>Claude Opus 5.5</t>
        </is>
      </c>
      <c r="B84" s="32">
        <f>('1_Cost_Job'!$B$33*(INDEX('6_Benchmarks'!$C$6:$C$12,MATCH($A84,'6_Benchmarks'!$A$6:$A$12,0))+('1_Cost_Job'!$B$37-1)*INDEX('6_Benchmarks'!$D$6:$D$12,MATCH($A84,'6_Benchmarks'!$A$6:$A$12,0)))/'1_Cost_Job'!$B$36+'1_Cost_Job'!$B$32*'1_Cost_Job'!$B$34*INDEX('6_Benchmarks'!$B$6:$B$12,MATCH($A84,'6_Benchmarks'!$A$6:$A$12,0))+'1_Cost_Job'!$B$32*'1_Cost_Job'!$B$35*INDEX('6_Benchmarks'!$E$6:$E$12,MATCH($A84,'6_Benchmarks'!$A$6:$A$12,0)))/1000000</f>
        <v>0.03096</v>
      </c>
      <c r="C84" s="32">
        <f>('1_Cost_Job'!$B$21*(B84+'1_Cost_Job'!$B$51)*(1+'1_Cost_Job'!$B$61)+'1_Cost_Job'!$B$81+'1_Cost_Job'!$B$97)/'1_Cost_Job'!$B$23</f>
        <v>0.0585762077922078</v>
      </c>
      <c r="D84" s="32">
        <f>$B$6*C84</f>
        <v>0.1757286233766234</v>
      </c>
      <c r="E84" s="19">
        <f>1-C84/$B$38</f>
        <v>0.5282800965406275</v>
      </c>
      <c r="F84" s="43" t="str">
        <f>IF(AND(E84&gt;=$B$45,E84&lt;=0.85),"✓",IF(E84&gt;0.85,"~ &gt;85%","✗"))</f>
        <v>✗</v>
      </c>
      <c r="G84" s="16" t="inlineStr">
        <is>
          <t>Chỉ khi eval chứng minh cần.</t>
        </is>
      </c>
    </row>
    <row r="85" ht="14.5" customHeight="1">
      <c r="A85" s="27" t="inlineStr">
        <is>
          <t>Giá model: Anthropic, kiểm tra 13/10/2026 (không có giá khuyến mại nào trong base case). Chỉ đổi ô "Model LLM" ở 1_Cost_Job để cả mô hình chạy theo model đó.</t>
        </is>
      </c>
    </row>
    <row r="87" ht="18" customHeight="1">
      <c r="A87" s="3" t="inlineStr">
        <is>
          <t>H. "Con số giết bạn" — sai 2× ở đâu thì mô hình gãy? (Prompt 4.7.1 mục 6)</t>
        </is>
      </c>
      <c r="B87" s="4" t="n"/>
      <c r="C87" s="4" t="n"/>
      <c r="D87" s="4" t="n"/>
      <c r="E87" s="4" t="n"/>
      <c r="F87" s="4" t="n"/>
      <c r="G87" s="4" t="n"/>
    </row>
    <row r="88" ht="15.5" customHeight="1">
      <c r="A88" s="35" t="inlineStr">
        <is>
          <t>Nếu ước tính sai 2× ở…</t>
        </is>
      </c>
      <c r="B88" s="36" t="inlineStr">
        <is>
          <t>Cost/Job</t>
        </is>
      </c>
      <c r="C88" s="36" t="inlineStr">
        <is>
          <t>GM</t>
        </is>
      </c>
      <c r="D88" s="36" t="inlineStr">
        <is>
          <t>GM tụt (điểm %)</t>
        </is>
      </c>
      <c r="E88" s="36" t="inlineStr"/>
      <c r="F88" s="36" t="inlineStr"/>
      <c r="G88" s="36" t="inlineStr">
        <is>
          <t>Ghi chú</t>
        </is>
      </c>
    </row>
    <row r="89" ht="15.5" customHeight="1">
      <c r="A89" s="18" t="inlineStr">
        <is>
          <t>Chi phí API / token (×2)</t>
        </is>
      </c>
      <c r="B89" s="32">
        <f>(2*('1_Cost_Job'!$B$79+'1_Cost_Job'!$B$80)+'1_Cost_Job'!$B$81+'1_Cost_Job'!$B$97)/'1_Cost_Job'!$B$23</f>
        <v>0.0585762077922078</v>
      </c>
      <c r="C89" s="19">
        <f>1-B89/$B$38</f>
        <v>0.5282800965406275</v>
      </c>
      <c r="D89" s="19">
        <f>$B$48-C89</f>
        <v>0.166735353982301</v>
      </c>
      <c r="G89" s="16" t="inlineStr"/>
    </row>
    <row r="90" ht="15.5" customHeight="1">
      <c r="A90" s="18" t="inlineStr">
        <is>
          <t>Infra (×2)</t>
        </is>
      </c>
      <c r="B90" s="32">
        <f>('1_Cost_Job'!$B$79+'1_Cost_Job'!$B$80+2*'1_Cost_Job'!$B$81+'1_Cost_Job'!$B$97)/'1_Cost_Job'!$B$23</f>
        <v>0.04724670779220779</v>
      </c>
      <c r="C90" s="19">
        <f>1-B90/$B$38</f>
        <v>0.6195176629123089</v>
      </c>
      <c r="D90" s="19">
        <f>$B$48-C90</f>
        <v>0.07549778761061954</v>
      </c>
      <c r="G90" s="16" t="inlineStr"/>
    </row>
    <row r="91" ht="15.5" customHeight="1">
      <c r="A91" s="18" t="inlineStr">
        <is>
          <t>HITL (×2)</t>
        </is>
      </c>
      <c r="B91" s="32">
        <f>('1_Cost_Job'!$B$79+'1_Cost_Job'!$B$80+'1_Cost_Job'!$B$81+2*'1_Cost_Job'!$B$97)/'1_Cost_Job'!$B$23</f>
        <v>0.04566391558441559</v>
      </c>
      <c r="C91" s="19">
        <f>1-B91/$B$38</f>
        <v>0.6322640426387771</v>
      </c>
      <c r="D91" s="19">
        <f>$B$48-C91</f>
        <v>0.06275140788415134</v>
      </c>
      <c r="G91" s="16" t="inlineStr"/>
    </row>
    <row r="92" ht="29" customHeight="1">
      <c r="A92" s="18" t="inlineStr">
        <is>
          <t>Containment giảm một nửa</t>
        </is>
      </c>
      <c r="B92" s="32">
        <f>IF('1_Cost_Job'!$B$8="A",$B$59/('1_Cost_Job'!$B$21*'1_Cost_Job'!$B$22/2)+$B$60,($B$59+$B$61*'1_Cost_Job'!$B$21)/('1_Cost_Job'!$B$21*'1_Cost_Job'!$B$22/2)+($B$60-$B$61))</f>
        <v>0.0679512077922078</v>
      </c>
      <c r="C92" s="19">
        <f>1-B92/$B$38</f>
        <v>0.45278230893000804</v>
      </c>
      <c r="D92" s="19">
        <f>$B$48-C92</f>
        <v>0.24223314159292042</v>
      </c>
      <c r="G92" s="16" t="inlineStr">
        <is>
          <t>Đây là con số duy nhất chưa đo — xem Evidence Pack.</t>
        </is>
      </c>
    </row>
    <row r="93">
      <c r="A93" s="13" t="inlineStr">
        <is>
          <t>Con số giết bạn</t>
        </is>
      </c>
      <c r="B93" s="9" t="str">
        <f>INDEX(A89:A92,MATCH(MAX(D89:D92),D89:D92,0))</f>
        <v>Containment giảm một nửa</v>
      </c>
      <c r="C93" s="7" t="n"/>
      <c r="D93" s="7" t="n"/>
      <c r="E93" s="7" t="n"/>
      <c r="F93" s="7" t="n"/>
      <c r="G93" s="8" t="n"/>
    </row>
    <row r="95" ht="18" customHeight="1">
      <c r="A95" s="3" t="inlineStr">
        <is>
          <t>5 CON SỐ BẮT BUỘC (Trạm 3)</t>
        </is>
      </c>
      <c r="B95" s="4" t="n"/>
      <c r="C95" s="4" t="n"/>
      <c r="D95" s="4" t="n"/>
      <c r="E95" s="4" t="n"/>
      <c r="F95" s="4" t="n"/>
      <c r="G95" s="4" t="n"/>
    </row>
    <row r="96" ht="15.5" customHeight="1">
      <c r="A96" s="13" t="inlineStr">
        <is>
          <t>[ ✓ ] Cost/Job (COGS, mẫu số = job hoàn thành)</t>
        </is>
      </c>
      <c r="B96" s="14">
        <f>'1_Cost_Job'!$B$94</f>
        <v>0.03787170779220779</v>
      </c>
      <c r="C96" s="15" t="inlineStr">
        <is>
          <t>$ / job</t>
        </is>
      </c>
      <c r="D96" s="16" t="inlineStr">
        <is>
          <t>Biến thể HITL đang chọn: xem 1_Cost_Job S0.</t>
        </is>
      </c>
      <c r="E96" s="7" t="n"/>
      <c r="F96" s="7" t="n"/>
      <c r="G96" s="8" t="n"/>
    </row>
    <row r="97" ht="15.5" customHeight="1">
      <c r="A97" s="13" t="inlineStr">
        <is>
          <t>[ ✓ ] Giá sàn (= 3 × Cost/Job)</t>
        </is>
      </c>
      <c r="B97" s="14">
        <f>$B$7</f>
        <v>0.11361512337662337</v>
      </c>
      <c r="C97" s="15" t="inlineStr">
        <is>
          <t>$ / job</t>
        </is>
      </c>
      <c r="D97" s="16" t="inlineStr"/>
      <c r="E97" s="7" t="n"/>
      <c r="F97" s="7" t="n"/>
      <c r="G97" s="8" t="n"/>
    </row>
    <row r="98" ht="15.5" customHeight="1">
      <c r="A98" s="13" t="inlineStr">
        <is>
          <t>[ ✓ ] Giá bán đề xuất (hiệu dụng)</t>
        </is>
      </c>
      <c r="B98" s="14">
        <f>$B$38</f>
        <v>0.12417582417582418</v>
      </c>
      <c r="C98" s="15" t="inlineStr">
        <is>
          <t>$ / job</t>
        </is>
      </c>
      <c r="D98" s="16" t="inlineStr">
        <is>
          <t>Hybrid, chi tiết ở mục C.</t>
        </is>
      </c>
      <c r="E98" s="7" t="n"/>
      <c r="F98" s="7" t="n"/>
      <c r="G98" s="8" t="n"/>
    </row>
    <row r="99" ht="15.5" customHeight="1">
      <c r="A99" s="13" t="inlineStr">
        <is>
          <t>[ ✓ ] Gross Margin (mục tiêu ≥ 60%)</t>
        </is>
      </c>
      <c r="B99" s="17">
        <f>$B$48</f>
        <v>0.6950154505229285</v>
      </c>
      <c r="C99" s="15" t="inlineStr">
        <is>
          <t>%</t>
        </is>
      </c>
      <c r="D99" s="16" t="inlineStr"/>
      <c r="E99" s="7" t="n"/>
      <c r="F99" s="7" t="n"/>
      <c r="G99" s="8" t="n"/>
    </row>
    <row r="100" ht="15.5" customHeight="1">
      <c r="A100" s="13" t="inlineStr">
        <is>
          <t>[ ✓ ] Breakeven containment</t>
        </is>
      </c>
      <c r="B100" s="17">
        <f>$B$64</f>
        <v>0.5746102958015268</v>
      </c>
      <c r="C100" s="15" t="inlineStr">
        <is>
          <t>%</t>
        </is>
      </c>
      <c r="D100" s="16" t="inlineStr">
        <is>
          <t>So với eval hiện tại (ước tính, chưa đo): xem ô bên dưới.</t>
        </is>
      </c>
      <c r="E100" s="7" t="n"/>
      <c r="F100" s="7" t="n"/>
      <c r="G100" s="8" t="n"/>
    </row>
    <row r="101" ht="15.5" customHeight="1">
      <c r="A101" s="18" t="inlineStr">
        <is>
          <t xml:space="preserve">      so với eval hiện tại</t>
        </is>
      </c>
      <c r="B101" s="19">
        <f>$B$65</f>
        <v>0.8</v>
      </c>
      <c r="C101" s="15" t="inlineStr">
        <is>
          <t>%</t>
        </is>
      </c>
      <c r="D101" s="16" t="inlineStr"/>
      <c r="E101" s="7" t="n"/>
      <c r="F101" s="7" t="n"/>
      <c r="G101" s="8" t="n"/>
    </row>
  </sheetData>
  <mergeCells count="65">
    <mergeCell ref="D18:G18"/>
    <mergeCell ref="B42:G42"/>
    <mergeCell ref="D12:G12"/>
    <mergeCell ref="D39:G39"/>
    <mergeCell ref="D8:G8"/>
    <mergeCell ref="B67:G67"/>
    <mergeCell ref="D24:G24"/>
    <mergeCell ref="D64:G64"/>
    <mergeCell ref="D15:G15"/>
    <mergeCell ref="D33:G33"/>
    <mergeCell ref="D98:G98"/>
    <mergeCell ref="D5:G5"/>
    <mergeCell ref="D51:G51"/>
    <mergeCell ref="D38:G38"/>
    <mergeCell ref="D14:G14"/>
    <mergeCell ref="D23:G23"/>
    <mergeCell ref="D54:G54"/>
    <mergeCell ref="A58:G58"/>
    <mergeCell ref="D59:G59"/>
    <mergeCell ref="D35:G35"/>
    <mergeCell ref="D50:G50"/>
    <mergeCell ref="D20:G20"/>
    <mergeCell ref="A77:G77"/>
    <mergeCell ref="D60:G60"/>
    <mergeCell ref="B49:G49"/>
    <mergeCell ref="D100:G100"/>
    <mergeCell ref="D19:G19"/>
    <mergeCell ref="D34:G34"/>
    <mergeCell ref="D63:G63"/>
    <mergeCell ref="D99:G99"/>
    <mergeCell ref="D46:G46"/>
    <mergeCell ref="D22:G22"/>
    <mergeCell ref="D40:G40"/>
    <mergeCell ref="D31:G31"/>
    <mergeCell ref="D65:G65"/>
    <mergeCell ref="D45:G45"/>
    <mergeCell ref="D36:G36"/>
    <mergeCell ref="D6:G6"/>
    <mergeCell ref="D96:G96"/>
    <mergeCell ref="B41:G41"/>
    <mergeCell ref="D101:G101"/>
    <mergeCell ref="D52:G52"/>
    <mergeCell ref="D21:G21"/>
    <mergeCell ref="B26:G26"/>
    <mergeCell ref="D11:G11"/>
    <mergeCell ref="D13:G13"/>
    <mergeCell ref="D27:G27"/>
    <mergeCell ref="B25:G25"/>
    <mergeCell ref="D32:G32"/>
    <mergeCell ref="A85:G85"/>
    <mergeCell ref="D48:G48"/>
    <mergeCell ref="D17:G17"/>
    <mergeCell ref="D61:G61"/>
    <mergeCell ref="D53:G53"/>
    <mergeCell ref="D66:G66"/>
    <mergeCell ref="D97:G97"/>
    <mergeCell ref="D47:G47"/>
    <mergeCell ref="D16:G16"/>
    <mergeCell ref="D7:G7"/>
    <mergeCell ref="B93:G93"/>
    <mergeCell ref="A2:G2"/>
    <mergeCell ref="A57:G57"/>
    <mergeCell ref="D37:G37"/>
    <mergeCell ref="D28:G28"/>
    <mergeCell ref="D62:G62"/>
  </mergeCells>
  <conditionalFormatting sqref="B41:G42">
    <cfRule type="expression" priority="1" dxfId="1" stopIfTrue="1">
      <formula>LEFT(B41,1)="✓"</formula>
    </cfRule>
    <cfRule type="expression" priority="2" dxfId="3" stopIfTrue="1">
      <formula>LEFT(B41,1)="✗"</formula>
    </cfRule>
    <cfRule type="expression" priority="3" dxfId="2" stopIfTrue="1">
      <formula>LEFT(B41,1)="~"</formula>
    </cfRule>
  </conditionalFormatting>
  <conditionalFormatting sqref="B46:B48">
    <cfRule type="expression" priority="4" dxfId="0" stopIfTrue="1">
      <formula>AND(ISNUMBER(B46),B46&gt;0.85)</formula>
    </cfRule>
    <cfRule type="expression" priority="5" dxfId="1" stopIfTrue="1">
      <formula>AND(ISNUMBER(B46),B46&gt;=$B$45)</formula>
    </cfRule>
    <cfRule type="expression" priority="6" dxfId="2" stopIfTrue="1">
      <formula>AND(ISNUMBER(B46),B46&gt;=0.5)</formula>
    </cfRule>
    <cfRule type="expression" priority="7" dxfId="3" stopIfTrue="1">
      <formula>AND(ISNUMBER(B46),B46&lt;0.5)</formula>
    </cfRule>
  </conditionalFormatting>
  <conditionalFormatting sqref="B49:G49">
    <cfRule type="expression" priority="8" dxfId="1" stopIfTrue="1">
      <formula>LEFT(B49,1)="✓"</formula>
    </cfRule>
    <cfRule type="expression" priority="9" dxfId="3" stopIfTrue="1">
      <formula>LEFT(B49,1)="✗"</formula>
    </cfRule>
    <cfRule type="expression" priority="10" dxfId="2" stopIfTrue="1">
      <formula>LEFT(B49,1)="~"</formula>
    </cfRule>
  </conditionalFormatting>
  <conditionalFormatting sqref="B51">
    <cfRule type="expression" priority="11" dxfId="0" stopIfTrue="1">
      <formula>AND(ISNUMBER(B51),B51&gt;0.85)</formula>
    </cfRule>
    <cfRule type="expression" priority="12" dxfId="1" stopIfTrue="1">
      <formula>AND(ISNUMBER(B51),B51&gt;=$B$45)</formula>
    </cfRule>
    <cfRule type="expression" priority="13" dxfId="2" stopIfTrue="1">
      <formula>AND(ISNUMBER(B51),B51&gt;=0.5)</formula>
    </cfRule>
    <cfRule type="expression" priority="14" dxfId="3" stopIfTrue="1">
      <formula>AND(ISNUMBER(B51),B51&lt;0.5)</formula>
    </cfRule>
  </conditionalFormatting>
  <conditionalFormatting sqref="B67:G67">
    <cfRule type="expression" priority="15" dxfId="1" stopIfTrue="1">
      <formula>LEFT(B67,1)="✓"</formula>
    </cfRule>
    <cfRule type="expression" priority="16" dxfId="3" stopIfTrue="1">
      <formula>LEFT(B67,1)="✗"</formula>
    </cfRule>
    <cfRule type="expression" priority="17" dxfId="2" stopIfTrue="1">
      <formula>LEFT(B67,1)="~"</formula>
    </cfRule>
  </conditionalFormatting>
  <conditionalFormatting sqref="D71:D76">
    <cfRule type="expression" priority="18" dxfId="0" stopIfTrue="1">
      <formula>AND(ISNUMBER(D71),D71&gt;0.85)</formula>
    </cfRule>
    <cfRule type="expression" priority="19" dxfId="1" stopIfTrue="1">
      <formula>AND(ISNUMBER(D71),D71&gt;=$B$45)</formula>
    </cfRule>
    <cfRule type="expression" priority="20" dxfId="2" stopIfTrue="1">
      <formula>AND(ISNUMBER(D71),D71&gt;=0.5)</formula>
    </cfRule>
    <cfRule type="expression" priority="21" dxfId="3" stopIfTrue="1">
      <formula>AND(ISNUMBER(D71),D71&lt;0.5)</formula>
    </cfRule>
  </conditionalFormatting>
  <conditionalFormatting sqref="F71:F76">
    <cfRule type="expression" priority="22" dxfId="0" stopIfTrue="1">
      <formula>AND(ISNUMBER(F71),F71&gt;0.85)</formula>
    </cfRule>
    <cfRule type="expression" priority="23" dxfId="1" stopIfTrue="1">
      <formula>AND(ISNUMBER(F71),F71&gt;=$B$45)</formula>
    </cfRule>
    <cfRule type="expression" priority="24" dxfId="2" stopIfTrue="1">
      <formula>AND(ISNUMBER(F71),F71&gt;=0.5)</formula>
    </cfRule>
    <cfRule type="expression" priority="25" dxfId="3" stopIfTrue="1">
      <formula>AND(ISNUMBER(F71),F71&lt;0.5)</formula>
    </cfRule>
  </conditionalFormatting>
  <conditionalFormatting sqref="E81:E84">
    <cfRule type="expression" priority="26" dxfId="0" stopIfTrue="1">
      <formula>AND(ISNUMBER(E81),E81&gt;0.85)</formula>
    </cfRule>
    <cfRule type="expression" priority="27" dxfId="1" stopIfTrue="1">
      <formula>AND(ISNUMBER(E81),E81&gt;=$B$45)</formula>
    </cfRule>
    <cfRule type="expression" priority="28" dxfId="2" stopIfTrue="1">
      <formula>AND(ISNUMBER(E81),E81&gt;=0.5)</formula>
    </cfRule>
    <cfRule type="expression" priority="29" dxfId="3" stopIfTrue="1">
      <formula>AND(ISNUMBER(E81),E81&lt;0.5)</formula>
    </cfRule>
  </conditionalFormatting>
  <conditionalFormatting sqref="F81:F84">
    <cfRule type="expression" priority="30" dxfId="1" stopIfTrue="1">
      <formula>LEFT(F81,1)="✓"</formula>
    </cfRule>
    <cfRule type="expression" priority="31" dxfId="3" stopIfTrue="1">
      <formula>LEFT(F81,1)="✗"</formula>
    </cfRule>
    <cfRule type="expression" priority="32" dxfId="2" stopIfTrue="1">
      <formula>LEFT(F81,1)="~"</formula>
    </cfRule>
  </conditionalFormatting>
  <conditionalFormatting sqref="C89:C92">
    <cfRule type="expression" priority="33" dxfId="0" stopIfTrue="1">
      <formula>AND(ISNUMBER(C89),C89&gt;0.85)</formula>
    </cfRule>
    <cfRule type="expression" priority="34" dxfId="1" stopIfTrue="1">
      <formula>AND(ISNUMBER(C89),C89&gt;=$B$45)</formula>
    </cfRule>
    <cfRule type="expression" priority="35" dxfId="2" stopIfTrue="1">
      <formula>AND(ISNUMBER(C89),C89&gt;=0.5)</formula>
    </cfRule>
    <cfRule type="expression" priority="36" dxfId="3" stopIfTrue="1">
      <formula>AND(ISNUMBER(C89),C89&lt;0.5)</formula>
    </cfRule>
  </conditionalFormatting>
  <conditionalFormatting sqref="B99">
    <cfRule type="expression" priority="37" dxfId="0" stopIfTrue="1">
      <formula>AND(ISNUMBER(B99),B99&gt;0.85)</formula>
    </cfRule>
    <cfRule type="expression" priority="38" dxfId="1" stopIfTrue="1">
      <formula>AND(ISNUMBER(B99),B99&gt;=$B$45)</formula>
    </cfRule>
    <cfRule type="expression" priority="39" dxfId="2" stopIfTrue="1">
      <formula>AND(ISNUMBER(B99),B99&gt;=0.5)</formula>
    </cfRule>
    <cfRule type="expression" priority="40" dxfId="3" stopIfTrue="1">
      <formula>AND(ISNUMBER(B99),B99&lt;0.5)</formula>
    </cfRule>
  </conditionalFormatting>
  <dataValidations count="1">
    <dataValidation sqref="B24" showDropDown="0" showInputMessage="0" showErrorMessage="0" allowBlank="0" type="list">
      <formula1>"Nhân công,Giá trị"</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1F3864"/>
    <outlinePr summaryBelow="1" summaryRight="1"/>
    <pageSetUpPr fitToPage="1"/>
  </sheetPr>
  <dimension ref="A1:G49"/>
  <sheetViews>
    <sheetView showGridLines="0" workbookViewId="0">
      <selection activeCell="A1" sqref="A1"/>
    </sheetView>
  </sheetViews>
  <sheetFormatPr baseColWidth="8" defaultRowHeight="15"/>
  <cols>
    <col width="52" customWidth="1" min="1" max="1"/>
    <col width="12" customWidth="1" min="2" max="2"/>
    <col width="8" customWidth="1" min="3" max="3"/>
    <col width="17" customWidth="1" min="4" max="4"/>
    <col width="17" customWidth="1" min="5" max="5"/>
    <col width="17" customWidth="1" min="6" max="6"/>
    <col width="40" customWidth="1" min="7" max="7"/>
  </cols>
  <sheetData>
    <row r="1">
      <c r="A1" s="1" t="inlineStr">
        <is>
          <t>3_Value_Metric — Attribution × Autonomy → Value Metric</t>
        </is>
      </c>
    </row>
    <row r="2" ht="27" customHeight="1">
      <c r="A2" s="2" t="inlineStr">
        <is>
          <t>SẢN PHẨM GIẢ ĐỊNH (placeholder) — "HoaDonAI": AI nhập liệu và đối chiếu hóa đơn đầu vào cho SME Việt Nam. Thay các ô VÀNG bằng số liệu sản phẩm thật của bạn; mọi ô xám tự tính lại. Chấm theo thực tế HÔM NAY, không theo kế hoạch quý sau.</t>
        </is>
      </c>
    </row>
    <row r="4" ht="18" customHeight="1">
      <c r="A4" s="3" t="inlineStr">
        <is>
          <t>Attribution — đo được kết quả này do AI tạo ra không? (chấm 1–5)</t>
        </is>
      </c>
      <c r="B4" s="4" t="n"/>
      <c r="C4" s="4" t="n"/>
      <c r="D4" s="4" t="n"/>
      <c r="E4" s="4" t="n"/>
      <c r="F4" s="4" t="n"/>
      <c r="G4" s="4" t="n"/>
    </row>
    <row r="5" ht="29" customHeight="1">
      <c r="A5" s="18" t="inlineStr">
        <is>
          <t>A1. Mỗi job có ID và trạng thái cuối ghi log tự động?</t>
        </is>
      </c>
      <c r="B5" s="31" t="n">
        <v>4</v>
      </c>
      <c r="C5" s="15" t="inlineStr"/>
      <c r="D5" s="16" t="inlineStr">
        <is>
          <t>Thiết kế đã có (completed / escalated / sửa lại ≤ 7 ngày); chưa chạy ở quy mô khách thật.</t>
        </is>
      </c>
      <c r="E5" s="7" t="n"/>
      <c r="F5" s="7" t="n"/>
      <c r="G5" s="8" t="n"/>
    </row>
    <row r="6" ht="15.5" customHeight="1">
      <c r="A6" s="18" t="inlineStr">
        <is>
          <t>A2. Định nghĩa "hoàn thành" đo tự động được?</t>
        </is>
      </c>
      <c r="B6" s="31" t="n">
        <v>4</v>
      </c>
      <c r="C6" s="15" t="inlineStr"/>
      <c r="D6" s="16" t="inlineStr">
        <is>
          <t>Có: kế toán xác nhận hoặc không sửa trong 7 ngày — log được bằng sự kiện trong sản phẩm.</t>
        </is>
      </c>
      <c r="E6" s="7" t="n"/>
      <c r="F6" s="7" t="n"/>
      <c r="G6" s="8" t="n"/>
    </row>
    <row r="7" ht="29" customHeight="1">
      <c r="A7" s="18" t="inlineStr">
        <is>
          <t>A3. Có bộ eval ≥ 200 mẫu gán nhãn, chạy lại mỗi lần đổi model/prompt?</t>
        </is>
      </c>
      <c r="B7" s="31" t="n">
        <v>2</v>
      </c>
      <c r="C7" s="15" t="inlineStr"/>
      <c r="D7" s="16" t="inlineStr">
        <is>
          <t>CHƯA có. Kế hoạch 300 mẫu, deadline 10/11/2026 (Evidence Pack).</t>
        </is>
      </c>
      <c r="E7" s="7" t="n"/>
      <c r="F7" s="7" t="n"/>
      <c r="G7" s="8" t="n"/>
    </row>
    <row r="8" ht="29" customHeight="1">
      <c r="A8" s="18" t="inlineStr">
        <is>
          <t>A4. Có baseline trước-AI của khách (thời gian/hóa đơn, tỷ lệ sai)?</t>
        </is>
      </c>
      <c r="B8" s="31" t="n">
        <v>2</v>
      </c>
      <c r="C8" s="15" t="inlineStr"/>
      <c r="D8" s="16" t="inlineStr">
        <is>
          <t>CHƯA có. Sẽ đo ở pilot tháng 1.</t>
        </is>
      </c>
      <c r="E8" s="7" t="n"/>
      <c r="F8" s="7" t="n"/>
      <c r="G8" s="8" t="n"/>
    </row>
    <row r="9" ht="29" customHeight="1">
      <c r="A9" s="18" t="inlineStr">
        <is>
          <t>A5. Khách tự kiểm toán được danh sách job bị tính tiền?</t>
        </is>
      </c>
      <c r="B9" s="31" t="n">
        <v>4</v>
      </c>
      <c r="C9" s="15" t="inlineStr"/>
      <c r="D9" s="16" t="inlineStr">
        <is>
          <t>Xuất CSV từng hóa đơn + trạng thái + người duyệt (thiết kế).</t>
        </is>
      </c>
      <c r="E9" s="7" t="n"/>
      <c r="F9" s="7" t="n"/>
      <c r="G9" s="8" t="n"/>
    </row>
    <row r="10" ht="15.5" customHeight="1">
      <c r="A10" s="13" t="inlineStr">
        <is>
          <t>Điểm Attribution trung bình</t>
        </is>
      </c>
      <c r="B10" s="44">
        <f>AVERAGE(B5:B9)</f>
        <v>3.2</v>
      </c>
      <c r="C10" s="15" t="inlineStr">
        <is>
          <t>/ 5</t>
        </is>
      </c>
      <c r="D10" s="16" t="inlineStr">
        <is>
          <t>Ngưỡng CAO: ≥ 3,5.</t>
        </is>
      </c>
      <c r="E10" s="7" t="n"/>
      <c r="F10" s="7" t="n"/>
      <c r="G10" s="8" t="n"/>
    </row>
    <row r="11" ht="15.5" customHeight="1">
      <c r="A11" s="13" t="inlineStr">
        <is>
          <t>Mức Attribution</t>
        </is>
      </c>
      <c r="B11" s="9" t="str">
        <f>IF($B$10&gt;=3.5,"CAO","THẤP")</f>
        <v>THẤP</v>
      </c>
      <c r="C11" s="15" t="inlineStr"/>
      <c r="D11" s="16" t="inlineStr"/>
      <c r="E11" s="7" t="n"/>
      <c r="F11" s="7" t="n"/>
      <c r="G11" s="8" t="n"/>
    </row>
    <row r="13" ht="18" customHeight="1">
      <c r="A13" s="3" t="inlineStr">
        <is>
          <t>Autonomy — AI tự chạy hết một job hay cần người can thiệp giữa chừng? (chấm 1–5)</t>
        </is>
      </c>
      <c r="B13" s="4" t="n"/>
      <c r="C13" s="4" t="n"/>
      <c r="D13" s="4" t="n"/>
      <c r="E13" s="4" t="n"/>
      <c r="F13" s="4" t="n"/>
      <c r="G13" s="4" t="n"/>
    </row>
    <row r="14" ht="29" customHeight="1">
      <c r="A14" s="18" t="inlineStr">
        <is>
          <t>U1. Tỷ lệ job hoàn thành không cần người (containment) ≥ 80%?</t>
        </is>
      </c>
      <c r="B14" s="31" t="n">
        <v>4</v>
      </c>
      <c r="C14" s="15" t="inlineStr"/>
      <c r="D14" s="16" t="inlineStr">
        <is>
          <t>Ước tính ~80%, CHƯA đo (xem 1_Cost_Job S2).</t>
        </is>
      </c>
      <c r="E14" s="7" t="n"/>
      <c r="F14" s="7" t="n"/>
      <c r="G14" s="8" t="n"/>
    </row>
    <row r="15" ht="29" customHeight="1">
      <c r="A15" s="18" t="inlineStr">
        <is>
          <t>U2. AI tự đẩy bút toán vào phần mềm kế toán, không cần duyệt từng hóa đơn?</t>
        </is>
      </c>
      <c r="B15" s="31" t="n">
        <v>2</v>
      </c>
      <c r="C15" s="15" t="inlineStr"/>
      <c r="D15" s="16" t="inlineStr">
        <is>
          <t>Không: kế toán duyệt hàng loạt trước khi hạch toán.</t>
        </is>
      </c>
      <c r="E15" s="7" t="n"/>
      <c r="F15" s="7" t="n"/>
      <c r="G15" s="8" t="n"/>
    </row>
    <row r="16" ht="29" customHeight="1">
      <c r="A16" s="18" t="inlineStr">
        <is>
          <t>U3. Khi AI sai, hệ thống tự phát hiện (ngưỡng tin cậy, quy tắc MST/tổng tiền)?</t>
        </is>
      </c>
      <c r="B16" s="31" t="n">
        <v>3</v>
      </c>
      <c r="C16" s="15" t="inlineStr"/>
      <c r="D16" s="16" t="inlineStr">
        <is>
          <t>Có quy tắc cơ bản; chưa được hiệu chỉnh bằng dữ liệu thật.</t>
        </is>
      </c>
      <c r="E16" s="7" t="n"/>
      <c r="F16" s="7" t="n"/>
      <c r="G16" s="8" t="n"/>
    </row>
    <row r="17" ht="15.5" customHeight="1">
      <c r="A17" s="18" t="inlineStr">
        <is>
          <t>U4. Chạy nền/batch, không cần người ngồi cạnh?</t>
        </is>
      </c>
      <c r="B17" s="31" t="n">
        <v>5</v>
      </c>
      <c r="C17" s="15" t="inlineStr"/>
      <c r="D17" s="16" t="inlineStr">
        <is>
          <t>Có: khách upload hoặc forward email, kết quả trả trong ngày.</t>
        </is>
      </c>
      <c r="E17" s="7" t="n"/>
      <c r="F17" s="7" t="n"/>
      <c r="G17" s="8" t="n"/>
    </row>
    <row r="18" ht="29" customHeight="1">
      <c r="A18" s="18" t="inlineStr">
        <is>
          <t>U5. Khách chấp nhận không duyệt từng job (rủi ro thuế, giá trị mỗi job thấp)?</t>
        </is>
      </c>
      <c r="B18" s="31" t="n">
        <v>2</v>
      </c>
      <c r="C18" s="15" t="inlineStr"/>
      <c r="D18" s="16" t="inlineStr">
        <is>
          <t>Chưa: hạch toán sai kéo theo rủi ro thuế nên khách vẫn muốn duyệt.</t>
        </is>
      </c>
      <c r="E18" s="7" t="n"/>
      <c r="F18" s="7" t="n"/>
      <c r="G18" s="8" t="n"/>
    </row>
    <row r="19" ht="15.5" customHeight="1">
      <c r="A19" s="13" t="inlineStr">
        <is>
          <t>Điểm Autonomy trung bình</t>
        </is>
      </c>
      <c r="B19" s="44">
        <f>AVERAGE(B14:B18)</f>
        <v>3.2</v>
      </c>
      <c r="C19" s="15" t="inlineStr">
        <is>
          <t>/ 5</t>
        </is>
      </c>
      <c r="D19" s="16" t="inlineStr">
        <is>
          <t>Ngưỡng CAO: ≥ 3,5.</t>
        </is>
      </c>
      <c r="E19" s="7" t="n"/>
      <c r="F19" s="7" t="n"/>
      <c r="G19" s="8" t="n"/>
    </row>
    <row r="20" ht="15.5" customHeight="1">
      <c r="A20" s="13" t="inlineStr">
        <is>
          <t>Mức Autonomy</t>
        </is>
      </c>
      <c r="B20" s="9" t="str">
        <f>IF($B$19&gt;=3.5,"CAO","THẤP")</f>
        <v>THẤP</v>
      </c>
      <c r="C20" s="15" t="inlineStr"/>
      <c r="D20" s="16" t="inlineStr"/>
      <c r="E20" s="7" t="n"/>
      <c r="F20" s="7" t="n"/>
      <c r="G20" s="8" t="n"/>
    </row>
    <row r="22" ht="18" customHeight="1">
      <c r="A22" s="3" t="inlineStr">
        <is>
          <t>Gợi ý của model (ma trận Attribution × Autonomy)</t>
        </is>
      </c>
      <c r="B22" s="4" t="n"/>
      <c r="C22" s="4" t="n"/>
      <c r="D22" s="4" t="n"/>
      <c r="E22" s="4" t="n"/>
      <c r="F22" s="4" t="n"/>
      <c r="G22" s="4" t="n"/>
    </row>
    <row r="23" ht="29" customHeight="1">
      <c r="A23" s="18" t="inlineStr">
        <is>
          <t>Ma trận gợi ý</t>
        </is>
      </c>
      <c r="B23" s="22" t="str">
        <f>IF($B$11="CAO",IF($B$20="CAO","Outcome","Usage"),IF($B$20="CAO","Usage","Seat / Hybrid"))</f>
        <v>Seat / Hybrid</v>
      </c>
      <c r="C23" s="7" t="n"/>
      <c r="D23" s="7" t="n"/>
      <c r="E23" s="7" t="n"/>
      <c r="F23" s="7" t="n"/>
      <c r="G23" s="8" t="n"/>
    </row>
    <row r="24" ht="26" customHeight="1">
      <c r="A24" s="26" t="inlineStr"/>
      <c r="B24" s="27" t="inlineStr">
        <is>
          <t>Attribution CAO + Autonomy CAO → Outcome · CAO + THẤP → Usage · THẤP + CAO → Usage (an toàn) · THẤP + THẤP → Seat / Hybrid.</t>
        </is>
      </c>
    </row>
    <row r="26" ht="18" customHeight="1">
      <c r="A26" s="3" t="inlineStr">
        <is>
          <t>Ba yếu tố ngoài ma trận</t>
        </is>
      </c>
      <c r="B26" s="4" t="n"/>
      <c r="C26" s="4" t="n"/>
      <c r="D26" s="4" t="n"/>
      <c r="E26" s="4" t="n"/>
      <c r="F26" s="4" t="n"/>
      <c r="G26" s="4" t="n"/>
    </row>
    <row r="27" ht="15.5" customHeight="1">
      <c r="A27" s="18" t="inlineStr">
        <is>
          <t>1. Thói quen chi trả của thị trường</t>
        </is>
      </c>
      <c r="B27" s="25" t="inlineStr">
        <is>
          <t>SME Việt Nam quen trả theo gói tháng hoặc theo số chứng từ, ít khi trả theo kết quả.</t>
        </is>
      </c>
      <c r="C27" s="7" t="n"/>
      <c r="D27" s="7" t="n"/>
      <c r="E27" s="7" t="n"/>
      <c r="F27" s="7" t="n"/>
      <c r="G27" s="8" t="n"/>
    </row>
    <row r="28" ht="29" customHeight="1">
      <c r="A28" s="18" t="inlineStr">
        <is>
          <t>2. Khả năng dự đoán chi phí của khách</t>
        </is>
      </c>
      <c r="B28" s="25" t="inlineStr">
        <is>
          <t>Chủ doanh nghiệp muốn biết trước tháng này trả bao nhiêu. Phí nền cố định giúp họ dự toán, chỉ phần vượt gói mới thay đổi.</t>
        </is>
      </c>
      <c r="C28" s="7" t="n"/>
      <c r="D28" s="7" t="n"/>
      <c r="E28" s="7" t="n"/>
      <c r="F28" s="7" t="n"/>
      <c r="G28" s="8" t="n"/>
    </row>
    <row r="29" ht="15.5" customHeight="1">
      <c r="A29" s="18" t="inlineStr">
        <is>
          <t>3. Ai chịu chi phí inference</t>
        </is>
      </c>
      <c r="B29" s="25" t="inlineStr">
        <is>
          <t>Tôi chịu tiền token. Phí nền giúp tôi vẫn thu đủ bù chi phí kể cả khi khách ít dùng.</t>
        </is>
      </c>
      <c r="C29" s="7" t="n"/>
      <c r="D29" s="7" t="n"/>
      <c r="E29" s="7" t="n"/>
      <c r="F29" s="7" t="n"/>
      <c r="G29" s="8" t="n"/>
    </row>
    <row r="31" ht="18" customHeight="1">
      <c r="A31" s="3" t="inlineStr">
        <is>
          <t>Chốt Value Metric</t>
        </is>
      </c>
      <c r="B31" s="4" t="n"/>
      <c r="C31" s="4" t="n"/>
      <c r="D31" s="4" t="n"/>
      <c r="E31" s="4" t="n"/>
      <c r="F31" s="4" t="n"/>
      <c r="G31" s="4" t="n"/>
    </row>
    <row r="32" ht="15.5" customHeight="1">
      <c r="A32" s="18" t="inlineStr">
        <is>
          <t>Value Metric đã chọn</t>
        </is>
      </c>
      <c r="B32" s="25" t="inlineStr">
        <is>
          <t>Hybrid</t>
        </is>
      </c>
      <c r="C32" s="15" t="inlineStr">
        <is>
          <t>chọn</t>
        </is>
      </c>
      <c r="D32" s="16" t="inlineStr">
        <is>
          <t>Seat / Usage / Outcome / Hybrid.</t>
        </is>
      </c>
      <c r="E32" s="7" t="n"/>
      <c r="F32" s="7" t="n"/>
      <c r="G32" s="8" t="n"/>
    </row>
    <row r="33" ht="29" customHeight="1">
      <c r="A33" s="18" t="inlineStr">
        <is>
          <t>Đơn vị tính tiền cụ thể</t>
        </is>
      </c>
      <c r="B33" s="25" t="inlineStr">
        <is>
          <t>Phí nền theo tháng (kèm hạn mức hóa đơn hoàn thành, kết nối phần mềm kế toán, SLA trong ngày) + phí theo từng hóa đơn HOÀN THÀNH vượt gói. Chi tiết số ở 2_Pricing mục C.</t>
        </is>
      </c>
      <c r="C33" s="7" t="n"/>
      <c r="D33" s="7" t="n"/>
      <c r="E33" s="7" t="n"/>
      <c r="F33" s="7" t="n"/>
      <c r="G33" s="8" t="n"/>
    </row>
    <row r="34" ht="15.5" customHeight="1">
      <c r="A34" s="18" t="inlineStr">
        <is>
          <t>Market override (bắt buộc nếu khác gợi ý)</t>
        </is>
      </c>
      <c r="B34" s="25" t="inlineStr">
        <is>
          <t>Không lệch — lựa chọn nằm trong gợi ý "Seat / Hybrid" của ma trận.</t>
        </is>
      </c>
      <c r="C34" s="7" t="n"/>
      <c r="D34" s="7" t="n"/>
      <c r="E34" s="7" t="n"/>
      <c r="F34" s="7" t="n"/>
      <c r="G34" s="8" t="n"/>
    </row>
    <row r="35" ht="29" customHeight="1">
      <c r="A35" s="18" t="inlineStr">
        <is>
          <t>Kiểm tra khớp ma trận</t>
        </is>
      </c>
      <c r="B35" s="22" t="str">
        <f>IF(ISNUMBER(SEARCH($B$32,$B$23)),"✓ Khớp ma trận Attribution × Autonomy",IF(LEN($B$34)&gt;30,"~ Lệch ma trận, có lý do thị trường","✗ Lệch ma trận và THIẾU lý do thị trường"))</f>
        <v>✓ Khớp ma trận Attribution × Autonomy</v>
      </c>
      <c r="C35" s="7" t="n"/>
      <c r="D35" s="7" t="n"/>
      <c r="E35" s="7" t="n"/>
      <c r="F35" s="7" t="n"/>
      <c r="G35" s="8" t="n"/>
    </row>
    <row r="37" ht="18" customHeight="1">
      <c r="A37" s="3" t="inlineStr">
        <is>
          <t>Decision Note — 3 câu</t>
        </is>
      </c>
      <c r="B37" s="4" t="n"/>
      <c r="C37" s="4" t="n"/>
      <c r="D37" s="4" t="n"/>
      <c r="E37" s="4" t="n"/>
      <c r="F37" s="4" t="n"/>
      <c r="G37" s="4" t="n"/>
    </row>
    <row r="38" ht="29" customHeight="1">
      <c r="A38" s="18" t="inlineStr">
        <is>
          <t>1. Tôi chọn đơn vị nào?</t>
        </is>
      </c>
      <c r="B38" s="22" t="str">
        <f>"Tôi chọn Hybrid: phí nền theo tháng (có sẵn "&amp;'2_Pricing'!$B$32&amp;" hóa đơn) cộng phí theo từng hóa đơn xử lý xong vượt gói."</f>
        <v>Tôi chọn Hybrid: phí nền theo tháng (có sẵn 350 hóa đơn) cộng phí theo từng hóa đơn xử lý xong vượt gói.</v>
      </c>
      <c r="C38" s="7" t="n"/>
      <c r="D38" s="7" t="n"/>
      <c r="E38" s="7" t="n"/>
      <c r="F38" s="7" t="n"/>
      <c r="G38" s="8" t="n"/>
    </row>
    <row r="39" ht="56" customHeight="1">
      <c r="A39" s="18" t="inlineStr">
        <is>
          <t>2. Attribution và Autonomy của tôi ở mức nào — bằng chứng gì?</t>
        </is>
      </c>
      <c r="B39" s="22" t="str">
        <f>"Attribution của tôi "&amp;LOWER($B$11)&amp;" ("&amp;ROUND($B$10,1)&amp;"/5) vì chưa có bộ eval từ 200 mẫu và chưa đo được thời gian xử lý trước khi dùng AI của khách. Autonomy cũng "&amp;LOWER($B$20)&amp;" ("&amp;ROUND($B$19,1)&amp;"/5) vì AI tự xong khoảng "&amp;ROUND('1_Cost_Job'!$B$22*100,0)&amp;"% (mới là ước tính) và kế toán vẫn duyệt hàng loạt."</f>
        <v>Attribution của tôi thấp (3.2/5) vì chưa có bộ eval từ 200 mẫu và chưa đo được thời gian xử lý trước khi dùng AI của khách. Autonomy cũng thấp (3.2/5) vì AI tự xong khoảng 80% (mới là ước tính) và kế toán vẫn duyệt hàng loạt.</v>
      </c>
      <c r="C39" s="7" t="n"/>
      <c r="D39" s="7" t="n"/>
      <c r="E39" s="7" t="n"/>
      <c r="F39" s="7" t="n"/>
      <c r="G39" s="8" t="n"/>
    </row>
    <row r="40" ht="56" customHeight="1">
      <c r="A40" s="18" t="inlineStr">
        <is>
          <t>3. Nếu chọn khác gợi ý của model, lý do thị trường là gì?</t>
        </is>
      </c>
      <c r="B40" s="22" t="str">
        <f>"Ma trận gợi ý "&amp;$B$23&amp;" và tôi chọn "&amp;$B$32&amp;", nên không có chỗ lệch. Tôi chưa bán theo Outcome vì chưa có số liệu chứng minh kết quả là do AI. Khi đo được AI tự xong từ "&amp;ROUND('5_90Day_Plan'!$B$29*100,1)&amp;"% trở lên trong 2 tháng, tôi sẽ xem lại."</f>
        <v>Ma trận gợi ý Seat / Hybrid và tôi chọn Hybrid, nên không có chỗ lệch. Tôi chưa bán theo Outcome vì chưa có số liệu chứng minh kết quả là do AI. Khi đo được AI tự xong từ 67.5% trở lên trong 2 tháng, tôi sẽ xem lại.</v>
      </c>
      <c r="C40" s="7" t="n"/>
      <c r="D40" s="7" t="n"/>
      <c r="E40" s="7" t="n"/>
      <c r="F40" s="7" t="n"/>
      <c r="G40" s="8" t="n"/>
    </row>
    <row r="42" ht="18" customHeight="1">
      <c r="A42" s="3" t="inlineStr">
        <is>
          <t>2 benchmark thật cùng loại job (kèm link nguồn, ngày kiểm tra 13/10/2026)</t>
        </is>
      </c>
      <c r="B42" s="4" t="n"/>
      <c r="C42" s="4" t="n"/>
      <c r="D42" s="4" t="n"/>
      <c r="E42" s="4" t="n"/>
      <c r="F42" s="4" t="n"/>
      <c r="G42" s="4" t="n"/>
    </row>
    <row r="43" ht="15.5" customHeight="1">
      <c r="A43" s="18" t="inlineStr">
        <is>
          <t>Benchmark 1: sản phẩm</t>
        </is>
      </c>
      <c r="B43" s="22" t="inlineStr">
        <is>
          <t>Veryfi (trích xuất hóa đơn / biên lai)</t>
        </is>
      </c>
      <c r="C43" s="7" t="n"/>
      <c r="D43" s="7" t="n"/>
      <c r="E43" s="7" t="n"/>
      <c r="F43" s="7" t="n"/>
      <c r="G43" s="8" t="n"/>
    </row>
    <row r="44" ht="29" customHeight="1">
      <c r="A44" s="18" t="inlineStr">
        <is>
          <t xml:space="preserve">   Value metric và giá hiện hành</t>
        </is>
      </c>
      <c r="B44" s="22" t="inlineStr">
        <is>
          <t>Hybrid: cam kết tối thiểu $500/tháng (mua được "&lt;5k tài liệu/tháng") + $0,16 / hóa đơn, $0,08 / biên lai; cam kết 12 tháng giảm 1 cent mỗi tài liệu.</t>
        </is>
      </c>
      <c r="C44" s="7" t="n"/>
      <c r="D44" s="7" t="n"/>
      <c r="E44" s="7" t="n"/>
      <c r="F44" s="7" t="n"/>
      <c r="G44" s="8" t="n"/>
    </row>
    <row r="45" ht="15.5" customHeight="1">
      <c r="A45" s="18" t="inlineStr">
        <is>
          <t xml:space="preserve">   Link nguồn</t>
        </is>
      </c>
      <c r="B45" s="22" t="inlineStr">
        <is>
          <t>https://www.veryfi.com/pricing/</t>
        </is>
      </c>
      <c r="C45" s="7" t="n"/>
      <c r="D45" s="7" t="n"/>
      <c r="E45" s="7" t="n"/>
      <c r="F45" s="7" t="n"/>
      <c r="G45" s="8" t="n"/>
    </row>
    <row r="46" ht="15.5" customHeight="1">
      <c r="A46" s="18" t="inlineStr">
        <is>
          <t>Benchmark 2: sản phẩm</t>
        </is>
      </c>
      <c r="B46" s="22" t="inlineStr">
        <is>
          <t>Dext Prepare (nhập liệu hóa đơn cho kế toán)</t>
        </is>
      </c>
      <c r="C46" s="7" t="n"/>
      <c r="D46" s="7" t="n"/>
      <c r="E46" s="7" t="n"/>
      <c r="F46" s="7" t="n"/>
      <c r="G46" s="8" t="n"/>
    </row>
    <row r="47" ht="29" customHeight="1">
      <c r="A47" s="18" t="inlineStr">
        <is>
          <t xml:space="preserve">   Value metric và giá hiện hành</t>
        </is>
      </c>
      <c r="B47" s="22" t="inlineStr">
        <is>
          <t>Gói theo hạn mức: $25,21/tháng (US) cho 250 tài liệu/tháng và 5 user; kéo thanh trượt để tăng hạn mức; vượt hạn mức thì chưa trích xuất dữ liệu đến kỳ sau.</t>
        </is>
      </c>
      <c r="C47" s="7" t="n"/>
      <c r="D47" s="7" t="n"/>
      <c r="E47" s="7" t="n"/>
      <c r="F47" s="7" t="n"/>
      <c r="G47" s="8" t="n"/>
    </row>
    <row r="48" ht="15.5" customHeight="1">
      <c r="A48" s="18" t="inlineStr">
        <is>
          <t xml:space="preserve">   Link nguồn</t>
        </is>
      </c>
      <c r="B48" s="22" t="inlineStr">
        <is>
          <t>https://www.dext.com/us/pricing/prepare-direct/</t>
        </is>
      </c>
      <c r="C48" s="7" t="n"/>
      <c r="D48" s="7" t="n"/>
      <c r="E48" s="7" t="n"/>
      <c r="F48" s="7" t="n"/>
      <c r="G48" s="8" t="n"/>
    </row>
    <row r="49" ht="27" customHeight="1">
      <c r="A49" s="27" t="inlineStr">
        <is>
          <t>Cả hai đều là Hybrid/gói theo hạn mức tài liệu, không bán thuần Outcome — khớp lựa chọn Hybrid. Intercom Fin ($0,99 / resolution, Outcome) khác loại job nên chỉ để đối chiếu (6_Benchmarks, mục C).</t>
        </is>
      </c>
    </row>
  </sheetData>
  <mergeCells count="34">
    <mergeCell ref="D18:G18"/>
    <mergeCell ref="D9:G9"/>
    <mergeCell ref="D8:G8"/>
    <mergeCell ref="B23:G23"/>
    <mergeCell ref="D15:G15"/>
    <mergeCell ref="D5:G5"/>
    <mergeCell ref="B44:G44"/>
    <mergeCell ref="B29:G29"/>
    <mergeCell ref="D14:G14"/>
    <mergeCell ref="B38:G38"/>
    <mergeCell ref="B34:G34"/>
    <mergeCell ref="B28:G28"/>
    <mergeCell ref="D20:G20"/>
    <mergeCell ref="B40:G40"/>
    <mergeCell ref="D19:G19"/>
    <mergeCell ref="D10:G10"/>
    <mergeCell ref="A49:G49"/>
    <mergeCell ref="B33:G33"/>
    <mergeCell ref="B24:G24"/>
    <mergeCell ref="D6:G6"/>
    <mergeCell ref="B45:G45"/>
    <mergeCell ref="B35:G35"/>
    <mergeCell ref="D11:G11"/>
    <mergeCell ref="D32:G32"/>
    <mergeCell ref="B47:G47"/>
    <mergeCell ref="D17:G17"/>
    <mergeCell ref="B46:G46"/>
    <mergeCell ref="D16:G16"/>
    <mergeCell ref="B27:G27"/>
    <mergeCell ref="D7:G7"/>
    <mergeCell ref="A2:G2"/>
    <mergeCell ref="B43:G43"/>
    <mergeCell ref="B48:G48"/>
    <mergeCell ref="B39:G39"/>
  </mergeCells>
  <conditionalFormatting sqref="B35:G35">
    <cfRule type="expression" priority="1" dxfId="1" stopIfTrue="1">
      <formula>LEFT(B35,1)="✓"</formula>
    </cfRule>
    <cfRule type="expression" priority="2" dxfId="3" stopIfTrue="1">
      <formula>LEFT(B35,1)="✗"</formula>
    </cfRule>
    <cfRule type="expression" priority="3" dxfId="2" stopIfTrue="1">
      <formula>LEFT(B35,1)="~"</formula>
    </cfRule>
  </conditionalFormatting>
  <dataValidations count="1">
    <dataValidation sqref="B32" showDropDown="0" showInputMessage="0" showErrorMessage="0" allowBlank="0" type="list">
      <formula1>"Seat,Usage,Outcome,Hybrid"</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1F3864"/>
    <outlinePr summaryBelow="1" summaryRight="1"/>
    <pageSetUpPr fitToPage="1"/>
  </sheetPr>
  <dimension ref="A1:G51"/>
  <sheetViews>
    <sheetView showGridLines="0" workbookViewId="0">
      <selection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 width="34" customWidth="1" min="7" max="7"/>
  </cols>
  <sheetData>
    <row r="1">
      <c r="A1" s="1" t="inlineStr">
        <is>
          <t>4_Channel_Fit — Ngân sách CAC, số deal/AE/ngày, chốt đúng 1 kênh</t>
        </is>
      </c>
    </row>
    <row r="2" ht="27" customHeight="1">
      <c r="A2" s="2" t="inlineStr">
        <is>
          <t>SẢN PHẨM GIẢ ĐỊNH (placeholder) — "HoaDonAI": AI nhập liệu và đối chiếu hóa đơn đầu vào cho SME Việt Nam. Thay các ô VÀNG bằng số liệu sản phẩm thật của bạn; mọi ô xám tự tính lại.</t>
        </is>
      </c>
    </row>
    <row r="4" ht="18" customHeight="1">
      <c r="A4" s="3" t="inlineStr">
        <is>
          <t>1. Ngân sách CAC = ARPU tháng × GM × số tháng payback cho phép</t>
        </is>
      </c>
      <c r="B4" s="4" t="n"/>
      <c r="C4" s="4" t="n"/>
      <c r="D4" s="4" t="n"/>
      <c r="E4" s="4" t="n"/>
      <c r="F4" s="4" t="n"/>
      <c r="G4" s="4" t="n"/>
    </row>
    <row r="5" ht="15.5" customHeight="1">
      <c r="A5" s="18" t="inlineStr">
        <is>
          <t>ARPU / tháng</t>
        </is>
      </c>
      <c r="B5" s="20">
        <f>'2_Pricing'!$B$36</f>
        <v>64.57142857142857</v>
      </c>
      <c r="C5" s="15" t="inlineStr">
        <is>
          <t>$ / khách</t>
        </is>
      </c>
      <c r="D5" s="16" t="inlineStr">
        <is>
          <t>Liên kết 2_Pricing mục C.</t>
        </is>
      </c>
      <c r="E5" s="7" t="n"/>
      <c r="F5" s="7" t="n"/>
      <c r="G5" s="8" t="n"/>
    </row>
    <row r="6" ht="15.5" customHeight="1">
      <c r="A6" s="18" t="inlineStr">
        <is>
          <t>Gross Margin</t>
        </is>
      </c>
      <c r="B6" s="19">
        <f>'2_Pricing'!$B$48</f>
        <v>0.6950154505229285</v>
      </c>
      <c r="C6" s="15" t="inlineStr">
        <is>
          <t>%</t>
        </is>
      </c>
      <c r="D6" s="16" t="inlineStr">
        <is>
          <t>Liên kết 2_Pricing mục D.</t>
        </is>
      </c>
      <c r="E6" s="7" t="n"/>
      <c r="F6" s="7" t="n"/>
      <c r="G6" s="8" t="n"/>
    </row>
    <row r="7" ht="15.5" customHeight="1">
      <c r="A7" s="18" t="inlineStr">
        <is>
          <t>Phân khúc khách</t>
        </is>
      </c>
      <c r="B7" s="25" t="inlineStr">
        <is>
          <t>SMB</t>
        </is>
      </c>
      <c r="C7" s="15" t="inlineStr">
        <is>
          <t>chọn</t>
        </is>
      </c>
      <c r="D7" s="16" t="inlineStr">
        <is>
          <t>SMB / Mid-market / Enterprise.</t>
        </is>
      </c>
      <c r="E7" s="7" t="n"/>
      <c r="F7" s="7" t="n"/>
      <c r="G7" s="8" t="n"/>
    </row>
    <row r="8" ht="15.5" customHeight="1">
      <c r="A8" s="18" t="inlineStr">
        <is>
          <t>CAC payback cho phép</t>
        </is>
      </c>
      <c r="B8" s="45">
        <f>INDEX('6_Benchmarks'!$B$33:$B$35,MATCH($B$7,'6_Benchmarks'!$A$33:$A$35,0))</f>
        <v>12</v>
      </c>
      <c r="C8" s="15" t="inlineStr">
        <is>
          <t>tháng</t>
        </is>
      </c>
      <c r="D8" s="16" t="inlineStr">
        <is>
          <t>Bessemer 2024 (6_Benchmarks, mục D).</t>
        </is>
      </c>
      <c r="E8" s="7" t="n"/>
      <c r="F8" s="7" t="n"/>
      <c r="G8" s="8" t="n"/>
    </row>
    <row r="9" ht="15.5" customHeight="1">
      <c r="A9" s="13" t="inlineStr">
        <is>
          <t>NGÂN SÁCH CAC / KHÁCH</t>
        </is>
      </c>
      <c r="B9" s="38">
        <f>$B$5*$B$6*$B$8</f>
        <v>538.5376862337663</v>
      </c>
      <c r="C9" s="15" t="inlineStr">
        <is>
          <t>$ / khách</t>
        </is>
      </c>
      <c r="D9" s="16" t="inlineStr"/>
      <c r="E9" s="7" t="n"/>
      <c r="F9" s="7" t="n"/>
      <c r="G9" s="8" t="n"/>
    </row>
    <row r="11" ht="18" customHeight="1">
      <c r="A11" s="3" t="inlineStr">
        <is>
          <t>2. Sales-Led có chạy được không? — số deal 1 AE phải chốt = Quota năm / ACV</t>
        </is>
      </c>
      <c r="B11" s="4" t="n"/>
      <c r="C11" s="4" t="n"/>
      <c r="D11" s="4" t="n"/>
      <c r="E11" s="4" t="n"/>
      <c r="F11" s="4" t="n"/>
      <c r="G11" s="4" t="n"/>
    </row>
    <row r="12" ht="15.5" customHeight="1">
      <c r="A12" s="18" t="inlineStr">
        <is>
          <t>ACV (= ARPU × 12)</t>
        </is>
      </c>
      <c r="B12" s="20">
        <f>$B$5*12</f>
        <v>774.8571428571429</v>
      </c>
      <c r="C12" s="15" t="inlineStr">
        <is>
          <t>$ / năm</t>
        </is>
      </c>
      <c r="D12" s="16" t="inlineStr"/>
      <c r="E12" s="7" t="n"/>
      <c r="F12" s="7" t="n"/>
      <c r="G12" s="8" t="n"/>
    </row>
    <row r="13" ht="15.5" customHeight="1">
      <c r="A13" s="18" t="inlineStr">
        <is>
          <t>Quota / AE / năm</t>
        </is>
      </c>
      <c r="B13" s="23" t="n">
        <v>500000</v>
      </c>
      <c r="C13" s="15" t="inlineStr">
        <is>
          <t>$</t>
        </is>
      </c>
      <c r="D13" s="16" t="inlineStr">
        <is>
          <t>Giả định gốc của đề.</t>
        </is>
      </c>
      <c r="E13" s="7" t="n"/>
      <c r="F13" s="7" t="n"/>
      <c r="G13" s="8" t="n"/>
    </row>
    <row r="14" ht="15.5" customHeight="1">
      <c r="A14" s="18" t="inlineStr">
        <is>
          <t>Chi phí fully-loaded 1 AE</t>
        </is>
      </c>
      <c r="B14" s="23" t="n">
        <v>100000</v>
      </c>
      <c r="C14" s="15" t="inlineStr">
        <is>
          <t>$ / năm</t>
        </is>
      </c>
      <c r="D14" s="16" t="inlineStr">
        <is>
          <t>Giả định gốc của đề.</t>
        </is>
      </c>
      <c r="E14" s="7" t="n"/>
      <c r="F14" s="7" t="n"/>
      <c r="G14" s="8" t="n"/>
    </row>
    <row r="15" ht="15.5" customHeight="1">
      <c r="A15" s="18" t="inlineStr">
        <is>
          <t>Tỷ lệ đạt quota</t>
        </is>
      </c>
      <c r="B15" s="28" t="n">
        <v>0.75</v>
      </c>
      <c r="C15" s="15" t="inlineStr">
        <is>
          <t>%</t>
        </is>
      </c>
      <c r="D15" s="16" t="inlineStr">
        <is>
          <t>Giả định gốc của đề.</t>
        </is>
      </c>
      <c r="E15" s="7" t="n"/>
      <c r="F15" s="7" t="n"/>
      <c r="G15" s="8" t="n"/>
    </row>
    <row r="16" ht="15.5" customHeight="1">
      <c r="A16" s="18" t="inlineStr">
        <is>
          <t>Số ngày làm việc / năm</t>
        </is>
      </c>
      <c r="B16" s="31" t="n">
        <v>250</v>
      </c>
      <c r="C16" s="15" t="inlineStr">
        <is>
          <t>ngày</t>
        </is>
      </c>
      <c r="D16" s="16" t="inlineStr"/>
      <c r="E16" s="7" t="n"/>
      <c r="F16" s="7" t="n"/>
      <c r="G16" s="8" t="n"/>
    </row>
    <row r="17" ht="15.5" customHeight="1">
      <c r="A17" s="18" t="inlineStr">
        <is>
          <t>Số deal 1 AE phải chốt / năm</t>
        </is>
      </c>
      <c r="B17" s="29">
        <f>$B$13/$B$12</f>
        <v>645.2802359882006</v>
      </c>
      <c r="C17" s="15" t="inlineStr">
        <is>
          <t>deal</t>
        </is>
      </c>
      <c r="D17" s="16" t="inlineStr"/>
      <c r="E17" s="7" t="n"/>
      <c r="F17" s="7" t="n"/>
      <c r="G17" s="8" t="n"/>
    </row>
    <row r="18" ht="15.5" customHeight="1">
      <c r="A18" s="13" t="inlineStr">
        <is>
          <t>SỐ DEAL / AE / NGÀY LÀM VIỆC</t>
        </is>
      </c>
      <c r="B18" s="44">
        <f>$B$17/$B$16</f>
        <v>2.5811209439528024</v>
      </c>
      <c r="C18" s="15" t="inlineStr">
        <is>
          <t>deal / ngày</t>
        </is>
      </c>
      <c r="D18" s="16" t="inlineStr">
        <is>
          <t>≤ ~1 deal/ngày: khả thi; &gt; 1: không chạy được dù tuyển sales giỏi đến đâu.</t>
        </is>
      </c>
      <c r="E18" s="7" t="n"/>
      <c r="F18" s="7" t="n"/>
      <c r="G18" s="8" t="n"/>
    </row>
    <row r="19" ht="29" customHeight="1">
      <c r="A19" s="18" t="inlineStr">
        <is>
          <t>Kết luận Sales-Led</t>
        </is>
      </c>
      <c r="B19" s="22" t="str">
        <f>IF($B$18&lt;=1,"✓ Khả thi (≤ 1 deal/AE/ngày)","✗ KHÔNG CHẠY ĐƯỢC: &gt; 1 deal/AE/ngày ở mức ACV này")</f>
        <v>✗ KHÔNG CHẠY ĐƯỢC: &gt; 1 deal/AE/ngày ở mức ACV này</v>
      </c>
      <c r="C19" s="7" t="n"/>
      <c r="D19" s="7" t="n"/>
      <c r="E19" s="7" t="n"/>
      <c r="F19" s="7" t="n"/>
      <c r="G19" s="8" t="n"/>
    </row>
    <row r="20" ht="29" customHeight="1">
      <c r="A20" s="18" t="inlineStr">
        <is>
          <t>Chi phí AE / deal (chỉ lương AE, chưa gồm lead gen)</t>
        </is>
      </c>
      <c r="B20" s="20">
        <f>$B$14/($B$13*$B$15/$B$12)</f>
        <v>206.62857142857143</v>
      </c>
      <c r="C20" s="15" t="inlineStr">
        <is>
          <t>$ / deal</t>
        </is>
      </c>
      <c r="D20" s="16" t="inlineStr">
        <is>
          <t>Tham khảo.</t>
        </is>
      </c>
      <c r="E20" s="7" t="n"/>
      <c r="F20" s="7" t="n"/>
      <c r="G20" s="8" t="n"/>
    </row>
    <row r="22" ht="18" customHeight="1">
      <c r="A22" s="3" t="inlineStr">
        <is>
          <t>3. CAC thực của motion có sales = Cost per opportunity / Win rate</t>
        </is>
      </c>
      <c r="B22" s="4" t="n"/>
      <c r="C22" s="4" t="n"/>
      <c r="D22" s="4" t="n"/>
      <c r="E22" s="4" t="n"/>
      <c r="F22" s="4" t="n"/>
      <c r="G22" s="4" t="n"/>
    </row>
    <row r="23" ht="15.5" customHeight="1">
      <c r="A23" s="18" t="inlineStr">
        <is>
          <t>Cost per lead (theo phân khúc)</t>
        </is>
      </c>
      <c r="B23" s="29">
        <f>INDEX('6_Benchmarks'!$C$33:$C$35,MATCH($B$7,'6_Benchmarks'!$A$33:$A$35,0))</f>
        <v>500</v>
      </c>
      <c r="C23" s="15" t="inlineStr">
        <is>
          <t>$</t>
        </is>
      </c>
      <c r="D23" s="16" t="inlineStr">
        <is>
          <t>ICONIQ 2026 (theo đề).</t>
        </is>
      </c>
      <c r="E23" s="7" t="n"/>
      <c r="F23" s="7" t="n"/>
      <c r="G23" s="8" t="n"/>
    </row>
    <row r="24" ht="15.5" customHeight="1">
      <c r="A24" s="18" t="inlineStr">
        <is>
          <t>Cost per opportunity (theo phân khúc)</t>
        </is>
      </c>
      <c r="B24" s="29">
        <f>INDEX('6_Benchmarks'!$D$33:$D$35,MATCH($B$7,'6_Benchmarks'!$A$33:$A$35,0))</f>
        <v>6300</v>
      </c>
      <c r="C24" s="15" t="inlineStr">
        <is>
          <t>$</t>
        </is>
      </c>
      <c r="D24" s="16" t="inlineStr">
        <is>
          <t>ICONIQ 2026 (theo đề).</t>
        </is>
      </c>
      <c r="E24" s="7" t="n"/>
      <c r="F24" s="7" t="n"/>
      <c r="G24" s="8" t="n"/>
    </row>
    <row r="25" ht="15.5" customHeight="1">
      <c r="A25" s="18" t="inlineStr">
        <is>
          <t>Win rate</t>
        </is>
      </c>
      <c r="B25" s="28" t="n">
        <v>0.25</v>
      </c>
      <c r="C25" s="15" t="inlineStr">
        <is>
          <t>%</t>
        </is>
      </c>
      <c r="D25" s="16" t="inlineStr">
        <is>
          <t>Giả định của đề.</t>
        </is>
      </c>
      <c r="E25" s="7" t="n"/>
      <c r="F25" s="7" t="n"/>
      <c r="G25" s="8" t="n"/>
    </row>
    <row r="26" ht="15.5" customHeight="1">
      <c r="A26" s="13" t="inlineStr">
        <is>
          <t>CAC THỰC ƯỚC TÍNH</t>
        </is>
      </c>
      <c r="B26" s="41">
        <f>$B$24/$B$25</f>
        <v>25200.0</v>
      </c>
      <c r="C26" s="15" t="inlineStr">
        <is>
          <t>$ / khách</t>
        </is>
      </c>
      <c r="D26" s="16" t="inlineStr"/>
      <c r="E26" s="7" t="n"/>
      <c r="F26" s="7" t="n"/>
      <c r="G26" s="8" t="n"/>
    </row>
    <row r="27" ht="15.5" customHeight="1">
      <c r="A27" s="13" t="inlineStr">
        <is>
          <t>Lệch so với ngân sách CAC</t>
        </is>
      </c>
      <c r="B27" s="46">
        <f>$B$26/$B$9</f>
        <v>46.793382606581936</v>
      </c>
      <c r="C27" s="15" t="inlineStr">
        <is>
          <t>lần</t>
        </is>
      </c>
      <c r="D27" s="16" t="inlineStr">
        <is>
          <t>Ghi lại con số này — đây là bằng chứng chọn kênh.</t>
        </is>
      </c>
      <c r="E27" s="7" t="n"/>
      <c r="F27" s="7" t="n"/>
      <c r="G27" s="8" t="n"/>
    </row>
    <row r="29" ht="18" customHeight="1">
      <c r="A29" s="3" t="inlineStr">
        <is>
          <t>4. Scorecard 3 kênh — 6 tiêu chí × 1–5 (chốt đúng 1 kênh)</t>
        </is>
      </c>
      <c r="B29" s="4" t="n"/>
      <c r="C29" s="4" t="n"/>
      <c r="D29" s="4" t="n"/>
      <c r="E29" s="4" t="n"/>
      <c r="F29" s="4" t="n"/>
      <c r="G29" s="4" t="n"/>
    </row>
    <row r="30" ht="15.5" customHeight="1">
      <c r="A30" s="35" t="inlineStr">
        <is>
          <t>Tiêu chí</t>
        </is>
      </c>
      <c r="B30" s="36" t="inlineStr">
        <is>
          <t>PLG</t>
        </is>
      </c>
      <c r="C30" s="36" t="inlineStr">
        <is>
          <t>Sales-Led</t>
        </is>
      </c>
      <c r="D30" s="36" t="inlineStr">
        <is>
          <t>Partner-Led</t>
        </is>
      </c>
      <c r="E30" s="36" t="inlineStr">
        <is>
          <t>Lý do chấm</t>
        </is>
      </c>
      <c r="F30" s="36" t="inlineStr"/>
      <c r="G30" s="36" t="inlineStr"/>
    </row>
    <row r="31" ht="29" customHeight="1">
      <c r="A31" s="18" t="inlineStr">
        <is>
          <t>1. Ngân sách CAC phủ được CAC thực của kênh</t>
        </is>
      </c>
      <c r="B31" s="47" t="n">
        <v>4</v>
      </c>
      <c r="C31" s="47" t="n">
        <v>1</v>
      </c>
      <c r="D31" s="47" t="n">
        <v>4</v>
      </c>
      <c r="E31" s="16" t="inlineStr">
        <is>
          <t>PLG: CAC mục tiêu ≤ ngân sách, chưa đo. Sales-Led: CAC thực lệch hàng chục lần so với ngân sách (mục 3). Partner: phụ thuộc chia margin.</t>
        </is>
      </c>
      <c r="F31" s="7" t="n"/>
      <c r="G31" s="8" t="n"/>
    </row>
    <row r="32" ht="29" customHeight="1">
      <c r="A32" s="18" t="inlineStr">
        <is>
          <t>2. Khả thi về số deal/AE/ngày (hoặc không cần AE)</t>
        </is>
      </c>
      <c r="B32" s="47" t="n">
        <v>5</v>
      </c>
      <c r="C32" s="47" t="n">
        <v>1</v>
      </c>
      <c r="D32" s="47" t="n">
        <v>4</v>
      </c>
      <c r="E32" s="16" t="inlineStr">
        <is>
          <t>PLG không cần AE; Sales-Led &gt; 1 deal/ngày/AE.</t>
        </is>
      </c>
      <c r="F32" s="7" t="n"/>
      <c r="G32" s="8" t="n"/>
    </row>
    <row r="33" ht="15.5" customHeight="1">
      <c r="A33" s="18" t="inlineStr">
        <is>
          <t>3. Khớp Pain Moment và điểm nhúng</t>
        </is>
      </c>
      <c r="B33" s="47" t="n">
        <v>4</v>
      </c>
      <c r="C33" s="47" t="n">
        <v>3</v>
      </c>
      <c r="D33" s="47" t="n">
        <v>3</v>
      </c>
      <c r="E33" s="16" t="inlineStr">
        <is>
          <t>Email-forward nằm đúng chỗ kế toán đang làm việc (hộp thư hóa đơn).</t>
        </is>
      </c>
      <c r="F33" s="7" t="n"/>
      <c r="G33" s="8" t="n"/>
    </row>
    <row r="34" ht="15.5" customHeight="1">
      <c r="A34" s="18" t="inlineStr">
        <is>
          <t>4. Tốc độ học trong 90 ngày với đội nhỏ</t>
        </is>
      </c>
      <c r="B34" s="47" t="n">
        <v>5</v>
      </c>
      <c r="C34" s="47" t="n">
        <v>2</v>
      </c>
      <c r="D34" s="47" t="n">
        <v>2</v>
      </c>
      <c r="E34" s="16" t="inlineStr">
        <is>
          <t>PLG cho vòng phản hồi hằng tuần; Partner cần đàm phán nhiều tuần.</t>
        </is>
      </c>
      <c r="F34" s="7" t="n"/>
      <c r="G34" s="8" t="n"/>
    </row>
    <row r="35" ht="15.5" customHeight="1">
      <c r="A35" s="18" t="inlineStr">
        <is>
          <t>5. Độ độc lập (ít phụ thuộc bên thứ ba)</t>
        </is>
      </c>
      <c r="B35" s="47" t="n">
        <v>5</v>
      </c>
      <c r="C35" s="47" t="n">
        <v>4</v>
      </c>
      <c r="D35" s="47" t="n">
        <v>1</v>
      </c>
      <c r="E35" s="16" t="inlineStr">
        <is>
          <t>Partner-Led: sống chết theo một nền tảng khác.</t>
        </is>
      </c>
      <c r="F35" s="7" t="n"/>
      <c r="G35" s="8" t="n"/>
    </row>
    <row r="36" ht="15.5" customHeight="1">
      <c r="A36" s="18" t="inlineStr">
        <is>
          <t>6. Khớp ARPU / ACV</t>
        </is>
      </c>
      <c r="B36" s="47" t="n">
        <v>5</v>
      </c>
      <c r="C36" s="47" t="n">
        <v>1</v>
      </c>
      <c r="D36" s="47" t="n">
        <v>4</v>
      </c>
      <c r="E36" s="16" t="inlineStr">
        <is>
          <t>ARPU ~$52/tháng quá thấp cho sales rep.</t>
        </is>
      </c>
      <c r="F36" s="7" t="n"/>
      <c r="G36" s="8" t="n"/>
    </row>
    <row r="37">
      <c r="A37" s="13" t="inlineStr">
        <is>
          <t>Tổng điểm</t>
        </is>
      </c>
      <c r="B37" s="48">
        <f>SUM(B31:B36)</f>
        <v>28.0</v>
      </c>
      <c r="C37" s="48">
        <f>SUM(C31:C36)</f>
        <v>12.0</v>
      </c>
      <c r="D37" s="48">
        <f>SUM(D31:D36)</f>
        <v>18.0</v>
      </c>
      <c r="E37" s="49" t="n"/>
      <c r="F37" s="49" t="n"/>
      <c r="G37" s="49" t="n"/>
    </row>
    <row r="38">
      <c r="A38" s="13" t="inlineStr">
        <is>
          <t>KÊNH ĐÃ CHỐT (điểm cao nhất)</t>
        </is>
      </c>
      <c r="B38" s="9" t="str">
        <f>IF(COUNTIF(B37:D37,MAX(B37:D37))&gt;1,"HÒA ĐIỂM — phải chốt thủ công 1 kênh",INDEX($B$30:$D$30,MATCH(MAX(B37:D37),B37:D37,0)))</f>
        <v>PLG</v>
      </c>
      <c r="C38" s="7" t="n"/>
      <c r="D38" s="7" t="n"/>
      <c r="E38" s="7" t="n"/>
      <c r="F38" s="7" t="n"/>
      <c r="G38" s="8" t="n"/>
    </row>
    <row r="39" ht="69.5" customHeight="1">
      <c r="A39" s="18" t="inlineStr">
        <is>
          <t>Lý do chốt kênh</t>
        </is>
      </c>
      <c r="B39" s="22" t="str">
        <f>"Tôi chọn PLG vì con số cho thấy bán qua sales không chạy được. Mỗi khách trả khoảng $"&amp;ROUND($B$5,0)&amp;"/tháng nên ngân sách CAC chỉ $"&amp;ROUND($B$9,0)&amp;". Bán qua sales rep cần "&amp;ROUND($B$18,2)&amp;" deal/người/ngày, và CAC thực khoảng $"&amp;ROUND($B$26,0)&amp;", gấp "&amp;ROUND($B$27,0)&amp;" lần ngân sách. Tôi không chọn Partner-Led vì chưa có tên đối tác nào và chưa nói chuyện với ai. PLG hợp nhất vì khách chỉ cần chuyển tiếp email hóa đơn, không phải cài thêm gì."</f>
        <v>Tôi chọn PLG vì con số cho thấy bán qua sales không chạy được. Mỗi khách trả khoảng $65/tháng nên ngân sách CAC chỉ $539. Bán qua sales rep cần 2.58 deal/người/ngày, và CAC thực khoảng $25200, gấp 47 lần ngân sách. Tôi không chọn Partner-Led vì chưa có tên đối tác nào và chưa nói chuyện với ai. PLG hợp nhất vì khách chỉ cần chuyển tiếp email hóa đơn, không phải cài thêm gì.</v>
      </c>
      <c r="C39" s="7" t="n"/>
      <c r="D39" s="7" t="n"/>
      <c r="E39" s="7" t="n"/>
      <c r="F39" s="7" t="n"/>
      <c r="G39" s="8" t="n"/>
    </row>
    <row r="41" ht="18" customHeight="1">
      <c r="A41" s="3" t="inlineStr">
        <is>
          <t>5. Nếu rơi vào vùng không khả thi — chọn 1 trong 3 lối thoát</t>
        </is>
      </c>
      <c r="B41" s="4" t="n"/>
      <c r="C41" s="4" t="n"/>
      <c r="D41" s="4" t="n"/>
      <c r="E41" s="4" t="n"/>
      <c r="F41" s="4" t="n"/>
      <c r="G41" s="4" t="n"/>
    </row>
    <row r="42" ht="15.5" customHeight="1">
      <c r="A42" s="18" t="inlineStr">
        <is>
          <t>Lối thoát đã chọn</t>
        </is>
      </c>
      <c r="B42" s="25" t="inlineStr">
        <is>
          <t>Giảm giá xuống</t>
        </is>
      </c>
      <c r="C42" s="15" t="inlineStr">
        <is>
          <t>chọn</t>
        </is>
      </c>
      <c r="D42" s="16" t="inlineStr">
        <is>
          <t>Giảm giá xuống / Tăng giá lên / Đi Partner-Led.</t>
        </is>
      </c>
      <c r="E42" s="7" t="n"/>
      <c r="F42" s="7" t="n"/>
      <c r="G42" s="8" t="n"/>
    </row>
    <row r="43" ht="29" customHeight="1">
      <c r="A43" s="18" t="inlineStr">
        <is>
          <t>Việc cụ thể trong 30 ngày tới</t>
        </is>
      </c>
      <c r="B43" s="25" t="inlineStr">
        <is>
          <t>Tôi dựng trang đăng ký và hộp thư nhận email chuyển tiếp, rồi nhờ 10 kế toán dùng thử. Nếu dưới 5 người gửi hóa đơn thật trong 14 ngày, tôi dừng và quay lại phỏng vấn.</t>
        </is>
      </c>
      <c r="C43" s="7" t="n"/>
      <c r="D43" s="7" t="n"/>
      <c r="E43" s="7" t="n"/>
      <c r="F43" s="7" t="n"/>
      <c r="G43" s="8" t="n"/>
    </row>
    <row r="45" ht="18" customHeight="1">
      <c r="A45" s="3" t="inlineStr">
        <is>
          <t>KẾT QUẢ TRẠM 4 — các con số bắt buộc</t>
        </is>
      </c>
      <c r="B45" s="4" t="n"/>
      <c r="C45" s="4" t="n"/>
      <c r="D45" s="4" t="n"/>
      <c r="E45" s="4" t="n"/>
      <c r="F45" s="4" t="n"/>
      <c r="G45" s="4" t="n"/>
    </row>
    <row r="46" ht="15.5" customHeight="1">
      <c r="A46" s="13" t="inlineStr">
        <is>
          <t>[ ✓ ] Ngân sách CAC / khách</t>
        </is>
      </c>
      <c r="B46" s="38">
        <f>$B$9</f>
        <v>538.5376862337663</v>
      </c>
      <c r="C46" s="15" t="inlineStr">
        <is>
          <t>$</t>
        </is>
      </c>
      <c r="D46" s="16" t="inlineStr"/>
      <c r="E46" s="7" t="n"/>
      <c r="F46" s="7" t="n"/>
      <c r="G46" s="8" t="n"/>
    </row>
    <row r="47" ht="15.5" customHeight="1">
      <c r="A47" s="13" t="inlineStr">
        <is>
          <t>[ ✓ ] Số deal / AE / ngày</t>
        </is>
      </c>
      <c r="B47" s="44">
        <f>$B$18</f>
        <v>2.5811209439528024</v>
      </c>
      <c r="C47" s="15" t="inlineStr">
        <is>
          <t>deal</t>
        </is>
      </c>
      <c r="D47" s="16" t="inlineStr"/>
      <c r="E47" s="7" t="n"/>
      <c r="F47" s="7" t="n"/>
      <c r="G47" s="8" t="n"/>
    </row>
    <row r="48" ht="15.5" customHeight="1">
      <c r="A48" s="13" t="inlineStr">
        <is>
          <t>[ ✓ ] CAC thực ước tính</t>
        </is>
      </c>
      <c r="B48" s="41">
        <f>$B$26</f>
        <v>25200.0</v>
      </c>
      <c r="C48" s="15" t="inlineStr">
        <is>
          <t>$</t>
        </is>
      </c>
      <c r="D48" s="16" t="inlineStr"/>
      <c r="E48" s="7" t="n"/>
      <c r="F48" s="7" t="n"/>
      <c r="G48" s="8" t="n"/>
    </row>
    <row r="49" ht="15.5" customHeight="1">
      <c r="A49" s="18" t="inlineStr">
        <is>
          <t xml:space="preserve">      → lệch</t>
        </is>
      </c>
      <c r="B49" s="40">
        <f>$B$27</f>
        <v>46.793382606581936</v>
      </c>
      <c r="C49" s="15" t="inlineStr">
        <is>
          <t>lần</t>
        </is>
      </c>
      <c r="D49" s="16" t="inlineStr"/>
      <c r="E49" s="7" t="n"/>
      <c r="F49" s="7" t="n"/>
      <c r="G49" s="8" t="n"/>
    </row>
    <row r="50" ht="29" customHeight="1">
      <c r="A50" s="18" t="inlineStr">
        <is>
          <t>[ ✓ ] Kênh đã chốt</t>
        </is>
      </c>
      <c r="B50" s="22" t="str">
        <f>$B$38</f>
        <v>PLG</v>
      </c>
      <c r="C50" s="7" t="n"/>
      <c r="D50" s="7" t="n"/>
      <c r="E50" s="7" t="n"/>
      <c r="F50" s="7" t="n"/>
      <c r="G50" s="8" t="n"/>
    </row>
    <row r="51" ht="29" customHeight="1">
      <c r="A51" s="18" t="inlineStr">
        <is>
          <t>[ ✓ ] Nếu Partner-Led: TÊN partner · đã nói chuyện chưa?</t>
        </is>
      </c>
      <c r="B51" s="25" t="inlineStr">
        <is>
          <t>N/A — kênh chốt là PLG. Partner-Led để dành cho tháng 4+: chưa có tên partner nào, CHƯA nói chuyện với ai ("sẽ tích hợp các nền tảng trong ngành" = chưa có kênh).</t>
        </is>
      </c>
      <c r="C51" s="7" t="n"/>
      <c r="D51" s="7" t="n"/>
      <c r="E51" s="7" t="n"/>
      <c r="F51" s="7" t="n"/>
      <c r="G51" s="8" t="n"/>
    </row>
  </sheetData>
  <mergeCells count="36">
    <mergeCell ref="D18:G18"/>
    <mergeCell ref="D9:G9"/>
    <mergeCell ref="D12:G12"/>
    <mergeCell ref="D8:G8"/>
    <mergeCell ref="D25:G25"/>
    <mergeCell ref="E31:G31"/>
    <mergeCell ref="D24:G24"/>
    <mergeCell ref="E34:G34"/>
    <mergeCell ref="D15:G15"/>
    <mergeCell ref="D5:G5"/>
    <mergeCell ref="D42:G42"/>
    <mergeCell ref="D14:G14"/>
    <mergeCell ref="B38:G38"/>
    <mergeCell ref="B19:G19"/>
    <mergeCell ref="D23:G23"/>
    <mergeCell ref="D26:G26"/>
    <mergeCell ref="E36:G36"/>
    <mergeCell ref="D20:G20"/>
    <mergeCell ref="D46:G46"/>
    <mergeCell ref="E32:G32"/>
    <mergeCell ref="B51:G51"/>
    <mergeCell ref="D6:G6"/>
    <mergeCell ref="B50:G50"/>
    <mergeCell ref="D13:G13"/>
    <mergeCell ref="D49:G49"/>
    <mergeCell ref="D27:G27"/>
    <mergeCell ref="D48:G48"/>
    <mergeCell ref="D17:G17"/>
    <mergeCell ref="E33:G33"/>
    <mergeCell ref="D47:G47"/>
    <mergeCell ref="D16:G16"/>
    <mergeCell ref="D7:G7"/>
    <mergeCell ref="A2:G2"/>
    <mergeCell ref="E35:G35"/>
    <mergeCell ref="B43:G43"/>
    <mergeCell ref="B39:G39"/>
  </mergeCells>
  <conditionalFormatting sqref="B19:G19">
    <cfRule type="expression" priority="1" dxfId="1" stopIfTrue="1">
      <formula>LEFT(B19,1)="✓"</formula>
    </cfRule>
    <cfRule type="expression" priority="2" dxfId="3" stopIfTrue="1">
      <formula>LEFT(B19,1)="✗"</formula>
    </cfRule>
    <cfRule type="expression" priority="3" dxfId="2" stopIfTrue="1">
      <formula>LEFT(B19,1)="~"</formula>
    </cfRule>
  </conditionalFormatting>
  <dataValidations count="2">
    <dataValidation sqref="B7" showDropDown="0" showInputMessage="0" showErrorMessage="0" allowBlank="0" type="list">
      <formula1>"SMB,Mid-market,Enterprise"</formula1>
    </dataValidation>
    <dataValidation sqref="B42" showDropDown="0" showInputMessage="0" showErrorMessage="0" allowBlank="0" type="list">
      <formula1>"Giảm giá xuống,Tăng giá lên,Đi Partner-Led"</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1F3864"/>
    <outlinePr summaryBelow="1" summaryRight="1"/>
    <pageSetUpPr fitToPage="1"/>
  </sheetPr>
  <dimension ref="A1:G43"/>
  <sheetViews>
    <sheetView showGridLines="0" workbookViewId="0">
      <selection activeCell="A1" sqref="A1"/>
    </sheetView>
  </sheetViews>
  <sheetFormatPr baseColWidth="8" defaultRowHeight="15"/>
  <cols>
    <col width="52" customWidth="1" min="1" max="1"/>
    <col width="17" customWidth="1" min="2" max="2"/>
    <col width="13" customWidth="1" min="3" max="3"/>
    <col width="17" customWidth="1" min="4" max="4"/>
    <col width="17" customWidth="1" min="5" max="5"/>
    <col width="17" customWidth="1" min="6" max="6"/>
    <col width="40" customWidth="1" min="7" max="7"/>
  </cols>
  <sheetData>
    <row r="1">
      <c r="A1" s="1" t="inlineStr">
        <is>
          <t>5_90Day_Plan — Pain Moment, kế hoạch 90 ngày, checklist Evidence Pack</t>
        </is>
      </c>
    </row>
    <row r="2" ht="27" customHeight="1">
      <c r="A2" s="2" t="inlineStr">
        <is>
          <t>SẢN PHẨM GIẢ ĐỊNH (placeholder) — "HoaDonAI": AI nhập liệu và đối chiếu hóa đơn đầu vào cho SME Việt Nam. Thay các ô VÀNG bằng số liệu sản phẩm thật của bạn; mọi ô xám tự tính lại. Tên người chịu trách nhiệm là vai trò giả định — thay bằng tên thật trong nhóm của bạn.</t>
        </is>
      </c>
    </row>
    <row r="4" ht="18" customHeight="1">
      <c r="A4" s="3" t="inlineStr">
        <is>
          <t>Pain Moment = MẤY GIỜ + ĐANG LÀM GÌ + DÙNG APP NÀO</t>
        </is>
      </c>
      <c r="B4" s="4" t="n"/>
      <c r="C4" s="4" t="n"/>
      <c r="D4" s="4" t="n"/>
      <c r="E4" s="4" t="n"/>
      <c r="F4" s="4" t="n"/>
      <c r="G4" s="4" t="n"/>
    </row>
    <row r="5" ht="15.5" customHeight="1">
      <c r="A5" s="18" t="inlineStr">
        <is>
          <t>Mấy giờ</t>
        </is>
      </c>
      <c r="B5" s="25" t="inlineStr">
        <is>
          <t>Ngày 17–20 hàng tháng, vài ngày trước hạn kê khai thuế GTGT tháng (hạn là ngày 20 — cần xác minh với cơ quan thuế).</t>
        </is>
      </c>
      <c r="C5" s="7" t="n"/>
      <c r="D5" s="7" t="n"/>
      <c r="E5" s="7" t="n"/>
      <c r="F5" s="7" t="n"/>
      <c r="G5" s="8" t="n"/>
    </row>
    <row r="6" ht="29" customHeight="1">
      <c r="A6" s="18" t="inlineStr">
        <is>
          <t>Đang làm gì</t>
        </is>
      </c>
      <c r="B6" s="25" t="inlineStr">
        <is>
          <t>Kế toán đang gom hơn 300 hóa đơn đầu vào còn tồn trong hộp thư để nhập liệu, hạch toán và đối chiếu trước khi lập tờ khai.</t>
        </is>
      </c>
      <c r="C6" s="7" t="n"/>
      <c r="D6" s="7" t="n"/>
      <c r="E6" s="7" t="n"/>
      <c r="F6" s="7" t="n"/>
      <c r="G6" s="8" t="n"/>
    </row>
    <row r="7" ht="15.5" customHeight="1">
      <c r="A7" s="18" t="inlineStr">
        <is>
          <t>Dùng app nào</t>
        </is>
      </c>
      <c r="B7" s="25" t="inlineStr">
        <is>
          <t>Gmail hoặc Outlook (hóa đơn điện tử về qua email) và phần mềm kế toán / Excel.</t>
        </is>
      </c>
      <c r="C7" s="7" t="n"/>
      <c r="D7" s="7" t="n"/>
      <c r="E7" s="7" t="n"/>
      <c r="F7" s="7" t="n"/>
      <c r="G7" s="8" t="n"/>
    </row>
    <row r="8" ht="29" customHeight="1">
      <c r="A8" s="18" t="inlineStr">
        <is>
          <t>Pain Moment (câu hoàn chỉnh)</t>
        </is>
      </c>
      <c r="B8" s="22" t="str">
        <f>"Lúc "&amp;$B$5&amp;" — "&amp;$B$6&amp;" — trên "&amp;$B$7</f>
        <v>Lúc Ngày 17–20 hàng tháng, vài ngày trước hạn kê khai thuế GTGT tháng (hạn là ngày 20 — cần xác minh với cơ quan thuế). — Kế toán đang gom hơn 300 hóa đơn đầu vào còn tồn trong hộp thư để nhập liệu, hạch toán và đối chiếu trước khi lập tờ khai. — trên Gmail hoặc Outlook (hóa đơn điện tử về qua email) và phần mềm kế toán / Excel.</v>
      </c>
      <c r="C8" s="7" t="n"/>
      <c r="D8" s="7" t="n"/>
      <c r="E8" s="7" t="n"/>
      <c r="F8" s="7" t="n"/>
      <c r="G8" s="8" t="n"/>
    </row>
    <row r="9" ht="29" customHeight="1">
      <c r="A9" s="18" t="inlineStr">
        <is>
          <t>Điểm nhúng (bề mặt tích hợp cụ thể)</t>
        </is>
      </c>
      <c r="B9" s="25" t="inlineStr">
        <is>
          <t>Hộp thư nhận email-forward riêng cho từng công ty (hoa-don@ten-cong-ty.…) + add-on Gmail/Outlook "Gửi sang HoaDonAI" — khách không phải mở website mới, không học workflow mới. Không phải "website của chúng tôi".</t>
        </is>
      </c>
      <c r="C9" s="7" t="n"/>
      <c r="D9" s="7" t="n"/>
      <c r="E9" s="7" t="n"/>
      <c r="F9" s="7" t="n"/>
      <c r="G9" s="8" t="n"/>
    </row>
    <row r="11" ht="18" customHeight="1">
      <c r="A11" s="3" t="inlineStr">
        <is>
          <t>Kế hoạch 90 ngày — 3 giai đoạn (số + người chịu trách nhiệm)</t>
        </is>
      </c>
      <c r="B11" s="4" t="n"/>
      <c r="C11" s="4" t="n"/>
      <c r="D11" s="4" t="n"/>
      <c r="E11" s="4" t="n"/>
      <c r="F11" s="4" t="n"/>
      <c r="G11" s="4" t="n"/>
    </row>
    <row r="12" ht="15.5" customHeight="1">
      <c r="A12" s="18" t="inlineStr">
        <is>
          <t>Tỷ lệ đăng ký → trả phí (giả định để tính phễu)</t>
        </is>
      </c>
      <c r="B12" s="28" t="n">
        <v>0.1</v>
      </c>
      <c r="C12" s="15" t="inlineStr">
        <is>
          <t>%</t>
        </is>
      </c>
      <c r="D12" s="16" t="inlineStr">
        <is>
          <t>GIẢ ĐỊNH, tháng 1–2 sẽ đo thật.</t>
        </is>
      </c>
      <c r="E12" s="7" t="n"/>
      <c r="F12" s="7" t="n"/>
      <c r="G12" s="8" t="n"/>
    </row>
    <row r="13" ht="15.5" customHeight="1">
      <c r="A13" s="35" t="inlineStr">
        <is>
          <t>THÁNG 1 — Hiểu sâu, làm tận tay</t>
        </is>
      </c>
      <c r="B13" s="36" t="inlineStr">
        <is>
          <t>Giá trị</t>
        </is>
      </c>
      <c r="C13" s="36" t="inlineStr">
        <is>
          <t>Đơn vị</t>
        </is>
      </c>
      <c r="D13" s="36" t="inlineStr">
        <is>
          <t>Ghi chú</t>
        </is>
      </c>
      <c r="E13" s="36" t="inlineStr"/>
      <c r="F13" s="36" t="inlineStr"/>
      <c r="G13" s="36" t="inlineStr"/>
    </row>
    <row r="14" ht="15.5" customHeight="1">
      <c r="A14" s="18" t="inlineStr">
        <is>
          <t>Số khách pilot</t>
        </is>
      </c>
      <c r="B14" s="31" t="n">
        <v>8</v>
      </c>
      <c r="C14" s="15" t="inlineStr">
        <is>
          <t>khách</t>
        </is>
      </c>
      <c r="D14" s="16" t="inlineStr">
        <is>
          <t>Tận tay: bạn trực tiếp đặt lịch, cài hộp thư, ngồi xem họ dùng.</t>
        </is>
      </c>
      <c r="E14" s="7" t="n"/>
      <c r="F14" s="7" t="n"/>
      <c r="G14" s="8" t="n"/>
    </row>
    <row r="15" ht="15.5" customHeight="1">
      <c r="A15" s="18" t="inlineStr">
        <is>
          <t>Ai đi gặp</t>
        </is>
      </c>
      <c r="B15" s="25" t="inlineStr">
        <is>
          <t>Founder/PM (bạn): 8 buổi onboarding tại chỗ + 1 buổi review cuối tháng; Dev 1 hỗ trợ kỹ thuật.</t>
        </is>
      </c>
      <c r="C15" s="7" t="n"/>
      <c r="D15" s="7" t="n"/>
      <c r="E15" s="7" t="n"/>
      <c r="F15" s="7" t="n"/>
      <c r="G15" s="8" t="n"/>
    </row>
    <row r="16" ht="29" customHeight="1">
      <c r="A16" s="18" t="inlineStr">
        <is>
          <t>Dữ liệu cần thu</t>
        </is>
      </c>
      <c r="B16" s="23" t="n">
        <v>2000</v>
      </c>
      <c r="C16" s="15" t="inlineStr">
        <is>
          <t>hóa đơn có nhãn</t>
        </is>
      </c>
      <c r="D16" s="16" t="inlineStr">
        <is>
          <t>Hóa đơn thật + bản kế toán sửa lại → đưa vào bộ eval; đo baseline thời gian/hóa đơn của khách.</t>
        </is>
      </c>
      <c r="E16" s="7" t="n"/>
      <c r="F16" s="7" t="n"/>
      <c r="G16" s="8" t="n"/>
    </row>
    <row r="17" ht="15.5" customHeight="1">
      <c r="A17" s="18" t="inlineStr">
        <is>
          <t>Chi cho quảng cáo</t>
        </is>
      </c>
      <c r="B17" s="23" t="n">
        <v>0</v>
      </c>
      <c r="C17" s="15" t="inlineStr">
        <is>
          <t>$</t>
        </is>
      </c>
      <c r="D17" s="16" t="inlineStr">
        <is>
          <t>Tháng 1 là giai đoạn HỌC, không scale. Ô = 0 có lý do.</t>
        </is>
      </c>
      <c r="E17" s="7" t="n"/>
      <c r="F17" s="7" t="n"/>
      <c r="G17" s="8" t="n"/>
    </row>
    <row r="18" ht="15.5" customHeight="1">
      <c r="A18" s="35" t="inlineStr">
        <is>
          <t>THÁNG 2–3 — Đòn bẩy qua kênh đã chọn (PLG)</t>
        </is>
      </c>
      <c r="B18" s="36" t="inlineStr">
        <is>
          <t>Giá trị</t>
        </is>
      </c>
      <c r="C18" s="36" t="inlineStr">
        <is>
          <t>Đơn vị</t>
        </is>
      </c>
      <c r="D18" s="36" t="inlineStr">
        <is>
          <t>Ghi chú</t>
        </is>
      </c>
      <c r="E18" s="36" t="inlineStr"/>
      <c r="F18" s="36" t="inlineStr"/>
      <c r="G18" s="36" t="inlineStr"/>
    </row>
    <row r="19" ht="15.5" customHeight="1">
      <c r="A19" s="18" t="inlineStr">
        <is>
          <t>Mục tiêu khách trả phí cuối tháng 3</t>
        </is>
      </c>
      <c r="B19" s="31" t="n">
        <v>15</v>
      </c>
      <c r="C19" s="15" t="inlineStr">
        <is>
          <t>khách</t>
        </is>
      </c>
      <c r="D19" s="16" t="inlineStr"/>
      <c r="E19" s="7" t="n"/>
      <c r="F19" s="7" t="n"/>
      <c r="G19" s="8" t="n"/>
    </row>
    <row r="20" ht="15.5" customHeight="1">
      <c r="A20" s="18" t="inlineStr">
        <is>
          <t>Số đăng ký cần có</t>
        </is>
      </c>
      <c r="B20" s="29">
        <f>$B$19/$B$12</f>
        <v>150.0</v>
      </c>
      <c r="C20" s="15" t="inlineStr">
        <is>
          <t>đăng ký</t>
        </is>
      </c>
      <c r="D20" s="16" t="inlineStr">
        <is>
          <t>= mục tiêu / tỷ lệ chuyển đổi.</t>
        </is>
      </c>
      <c r="E20" s="7" t="n"/>
      <c r="F20" s="7" t="n"/>
      <c r="G20" s="8" t="n"/>
    </row>
    <row r="21" ht="15.5" customHeight="1">
      <c r="A21" s="18" t="inlineStr">
        <is>
          <t>Ngân sách thu hút khách tối đa trong 90 ngày</t>
        </is>
      </c>
      <c r="B21" s="20">
        <f>$B$19*'4_Channel_Fit'!$B$9</f>
        <v>8078.0652935064945</v>
      </c>
      <c r="C21" s="15" t="inlineStr">
        <is>
          <t>$</t>
        </is>
      </c>
      <c r="D21" s="16" t="inlineStr">
        <is>
          <t>= khách mục tiêu × ngân sách CAC (4_Channel_Fit). Vượt mức này là kênh không bền.</t>
        </is>
      </c>
      <c r="E21" s="7" t="n"/>
      <c r="F21" s="7" t="n"/>
      <c r="G21" s="8" t="n"/>
    </row>
    <row r="22" ht="15.5" customHeight="1">
      <c r="A22" s="18" t="inlineStr">
        <is>
          <t>Volume ngụ ý (job thử / tháng)</t>
        </is>
      </c>
      <c r="B22" s="29">
        <f>$B$19*'2_Pricing'!$B$39</f>
        <v>9750.0</v>
      </c>
      <c r="C22" s="15" t="inlineStr">
        <is>
          <t>job</t>
        </is>
      </c>
      <c r="D22" s="16" t="inlineStr">
        <is>
          <t>Phải gần với giả định ở 1_Cost_Job S2.</t>
        </is>
      </c>
      <c r="E22" s="7" t="n"/>
      <c r="F22" s="7" t="n"/>
      <c r="G22" s="8" t="n"/>
    </row>
    <row r="23" ht="29" customHeight="1">
      <c r="A23" s="18" t="inlineStr">
        <is>
          <t>Khớp với 1_Cost_Job?</t>
        </is>
      </c>
      <c r="B23" s="22" t="str">
        <f>IF(ABS($B$22/'1_Cost_Job'!$B$21-1)&lt;=0.1,"✓ Volume ngụ ý nằm trong ±10% so với giả định 10.000 job/tháng","✗ Volume ngụ ý lệch &gt; 10% so với giả định ở 1_Cost_Job S2 — chỉnh một trong hai")</f>
        <v>✓ Volume ngụ ý nằm trong ±10% so với giả định 10.000 job/tháng</v>
      </c>
      <c r="C23" s="7" t="n"/>
      <c r="D23" s="7" t="n"/>
      <c r="E23" s="7" t="n"/>
      <c r="F23" s="7" t="n"/>
      <c r="G23" s="8" t="n"/>
    </row>
    <row r="24" ht="29" customHeight="1">
      <c r="A24" s="18" t="inlineStr">
        <is>
          <t>Cơ chế nhân rộng · KPI</t>
        </is>
      </c>
      <c r="B24" s="25" t="inlineStr">
        <is>
          <t>Cơ chế: tự phục vụ qua email-forward + giới thiệu giữa các kế toán dùng chung khách. KPI hằng tuần: đăng ký mới, % forward ≥ 20 hóa đơn trong 7 ngày đầu, containment đo được, ca QA phát hiện sai.</t>
        </is>
      </c>
      <c r="C24" s="7" t="n"/>
      <c r="D24" s="7" t="n"/>
      <c r="E24" s="7" t="n"/>
      <c r="F24" s="7" t="n"/>
      <c r="G24" s="8" t="n"/>
    </row>
    <row r="25" ht="15.5" customHeight="1">
      <c r="A25" s="18" t="inlineStr">
        <is>
          <t>Người chịu trách nhiệm</t>
        </is>
      </c>
      <c r="B25" s="25" t="inlineStr">
        <is>
          <t>Founder/PM (bạn): kênh PLG và phễu. Dev 1: containment/eval. Dev 2 hoặc bạn kiêm: hỗ trợ khách.</t>
        </is>
      </c>
      <c r="C25" s="7" t="n"/>
      <c r="D25" s="7" t="n"/>
      <c r="E25" s="7" t="n"/>
      <c r="F25" s="7" t="n"/>
      <c r="G25" s="8" t="n"/>
    </row>
    <row r="26" ht="15.5" customHeight="1">
      <c r="A26" s="18" t="inlineStr">
        <is>
          <t>Tiêu chí dừng (kill) sau 14 ngày</t>
        </is>
      </c>
      <c r="B26" s="25" t="inlineStr">
        <is>
          <t>Dưới 5 trong 10 kế toán concierge test forward hóa đơn thật → dừng, quay lại phỏng vấn Pain Moment.</t>
        </is>
      </c>
      <c r="C26" s="7" t="n"/>
      <c r="D26" s="7" t="n"/>
      <c r="E26" s="7" t="n"/>
      <c r="F26" s="7" t="n"/>
      <c r="G26" s="8" t="n"/>
    </row>
    <row r="27" ht="29" customHeight="1">
      <c r="A27" s="35" t="inlineStr">
        <is>
          <t>THÁNG 4+ — Mở rộng, chỉ sau khi thắng tuyệt đối 1 ngách</t>
        </is>
      </c>
      <c r="B27" s="36" t="inlineStr">
        <is>
          <t>Giá trị</t>
        </is>
      </c>
      <c r="C27" s="36" t="inlineStr">
        <is>
          <t>Đơn vị</t>
        </is>
      </c>
      <c r="D27" s="36" t="inlineStr">
        <is>
          <t>Ghi chú</t>
        </is>
      </c>
      <c r="E27" s="36" t="inlineStr"/>
      <c r="F27" s="36" t="inlineStr"/>
      <c r="G27" s="36" t="inlineStr"/>
    </row>
    <row r="28" ht="15.5" customHeight="1">
      <c r="A28" s="18" t="inlineStr">
        <is>
          <t>Ngách đang thắng (điều kiện mở rộng)</t>
        </is>
      </c>
      <c r="B28" s="25" t="inlineStr">
        <is>
          <t>SME thương mại/phân phối có 300–1.000 hóa đơn đầu vào/tháng. Chỉ mở ngách khác khi ngách này đạt cả ba cổng bên dưới.</t>
        </is>
      </c>
      <c r="C28" s="7" t="n"/>
      <c r="D28" s="7" t="n"/>
      <c r="E28" s="7" t="n"/>
      <c r="F28" s="7" t="n"/>
      <c r="G28" s="8" t="n"/>
    </row>
    <row r="29" ht="15.5" customHeight="1">
      <c r="A29" s="18" t="inlineStr">
        <is>
          <t>Cổng 1: containment đo được ≥</t>
        </is>
      </c>
      <c r="B29" s="19">
        <f>'2_Pricing'!$B$64+0.1</f>
        <v>0.6746102958015268</v>
      </c>
      <c r="C29" s="15" t="inlineStr">
        <is>
          <t>%</t>
        </is>
      </c>
      <c r="D29" s="16" t="inlineStr">
        <is>
          <t>= breakeven containment + 10 điểm % (2_Pricing mục E). Đo bằng eval, không phải ước tính.</t>
        </is>
      </c>
      <c r="E29" s="7" t="n"/>
      <c r="F29" s="7" t="n"/>
      <c r="G29" s="8" t="n"/>
    </row>
    <row r="30" ht="15.5" customHeight="1">
      <c r="A30" s="18" t="inlineStr">
        <is>
          <t>Cổng 2: GM thực tế ≥</t>
        </is>
      </c>
      <c r="B30" s="19">
        <f>'2_Pricing'!$B$45</f>
        <v>0.6</v>
      </c>
      <c r="C30" s="15" t="inlineStr">
        <is>
          <t>%</t>
        </is>
      </c>
      <c r="D30" s="16" t="inlineStr">
        <is>
          <t>Đo từ chi phí thật, không phải giả định.</t>
        </is>
      </c>
      <c r="E30" s="7" t="n"/>
      <c r="F30" s="7" t="n"/>
      <c r="G30" s="8" t="n"/>
    </row>
    <row r="31" ht="29" customHeight="1">
      <c r="A31" s="18" t="inlineStr">
        <is>
          <t>Ngách tiếp theo · dựa trên bằng chứng nào</t>
        </is>
      </c>
      <c r="B31" s="25" t="inlineStr">
        <is>
          <t>Văn phòng kế toán thuê ngoài (1 văn phòng phục vụ nhiều SME) — chỉ khi 15 khách đầu có churn thấp và ≥ 2 khách nói họ giới thiệu được cho văn phòng kế toán của mình. Partner-Led xem xét sau cổng này.</t>
        </is>
      </c>
      <c r="C31" s="7" t="n"/>
      <c r="D31" s="7" t="n"/>
      <c r="E31" s="7" t="n"/>
      <c r="F31" s="7" t="n"/>
      <c r="G31" s="8" t="n"/>
    </row>
    <row r="33" ht="18" customHeight="1">
      <c r="A33" s="3" t="inlineStr">
        <is>
          <t>Evidence Pack — 3 tài sản bằng văn bản để Procurement và IT dám ký</t>
        </is>
      </c>
      <c r="B33" s="4" t="n"/>
      <c r="C33" s="4" t="n"/>
      <c r="D33" s="4" t="n"/>
      <c r="E33" s="4" t="n"/>
      <c r="F33" s="4" t="n"/>
      <c r="G33" s="4" t="n"/>
    </row>
    <row r="34" ht="14.5" customHeight="1">
      <c r="A34" s="27" t="inlineStr">
        <is>
          <t>Ô nào chưa có thì ghi ai làm + deadline, không bỏ trống. Một Evidence Pack thành thật về khoảng trống tốt hơn một Evidence Pack bịa.</t>
        </is>
      </c>
    </row>
    <row r="35" ht="29" customHeight="1">
      <c r="A35" s="35" t="inlineStr">
        <is>
          <t>Tài sản</t>
        </is>
      </c>
      <c r="B35" s="36" t="inlineStr">
        <is>
          <t>Trạng thái</t>
        </is>
      </c>
      <c r="C35" s="36" t="inlineStr"/>
      <c r="D35" s="36" t="inlineStr">
        <is>
          <t>Deadline</t>
        </is>
      </c>
      <c r="E35" s="36" t="inlineStr">
        <is>
          <t>Chịu trách nhiệm</t>
        </is>
      </c>
      <c r="F35" s="36" t="inlineStr"/>
      <c r="G35" s="36" t="inlineStr">
        <is>
          <t>Nội dung hoặc cách đo</t>
        </is>
      </c>
    </row>
    <row r="36" ht="69.5" customHeight="1">
      <c r="A36" s="13" t="inlineStr">
        <is>
          <t>Eval Results</t>
        </is>
      </c>
      <c r="B36" s="50" t="inlineStr">
        <is>
          <t>CHƯA CÓ</t>
        </is>
      </c>
      <c r="C36" s="8" t="n"/>
      <c r="D36" s="51" t="n">
        <v>46336</v>
      </c>
      <c r="E36" s="25" t="inlineStr">
        <is>
          <t>Dev 1</t>
        </is>
      </c>
      <c r="F36" s="8" t="n"/>
      <c r="G36" s="16" t="inlineStr">
        <is>
          <t>Xây gold set 300 hóa đơn gán nhãn kép; đo field accuracy, % hạch toán đúng tài khoản, containment. Câu cần điền: "xử lý đúng __%; __% còn lại chuyển người".</t>
        </is>
      </c>
    </row>
    <row r="37" ht="42.5" customHeight="1">
      <c r="A37" s="13" t="inlineStr">
        <is>
          <t>Procurement Q&amp;A</t>
        </is>
      </c>
      <c r="B37" s="50" t="inlineStr">
        <is>
          <t>BẢN NHÁP</t>
        </is>
      </c>
      <c r="C37" s="8" t="n"/>
      <c r="D37" s="51" t="n">
        <v>46322</v>
      </c>
      <c r="E37" s="25" t="inlineStr">
        <is>
          <t>Founder/PM (bạn)</t>
        </is>
      </c>
      <c r="F37" s="8" t="n"/>
      <c r="G37" s="16" t="inlineStr">
        <is>
          <t>Có bản nháp 3 câu trả lời ở các dòng bên dưới; cần Dev 1 xác nhận khả thi kỹ thuật trước khi gửi khách.</t>
        </is>
      </c>
    </row>
    <row r="38" ht="56" customHeight="1">
      <c r="A38" s="13" t="inlineStr">
        <is>
          <t>Pilot Report</t>
        </is>
      </c>
      <c r="B38" s="50" t="inlineStr">
        <is>
          <t>CHƯA CÓ</t>
        </is>
      </c>
      <c r="C38" s="8" t="n"/>
      <c r="D38" s="51" t="n">
        <v>46371</v>
      </c>
      <c r="E38" s="25" t="inlineStr">
        <is>
          <t>Founder/PM (bạn)</t>
        </is>
      </c>
      <c r="F38" s="8" t="n"/>
      <c r="G38" s="16" t="inlineStr">
        <is>
          <t>Pilot với 8 SME bắt đầu 03/11/2026 (tên khách: chưa chốt). Mẫu: "__ tuần, __ lượt, tỷ lệ thành công __%, tiết kiệm __".</t>
        </is>
      </c>
    </row>
    <row r="40" ht="18" customHeight="1">
      <c r="A40" s="3" t="inlineStr">
        <is>
          <t>Procurement Q&amp;A — bản nháp trả lời 3 câu hỏi của Procurement/IT</t>
        </is>
      </c>
      <c r="B40" s="4" t="n"/>
      <c r="C40" s="4" t="n"/>
      <c r="D40" s="4" t="n"/>
      <c r="E40" s="4" t="n"/>
      <c r="F40" s="4" t="n"/>
      <c r="G40" s="4" t="n"/>
    </row>
    <row r="41" ht="42.5" customHeight="1">
      <c r="A41" s="18" t="inlineStr">
        <is>
          <t>1. AI này có hallucinate không? Nếu nó nói sai với khách của tôi thì sao?</t>
        </is>
      </c>
      <c r="B41" s="25" t="inlineStr">
        <is>
          <t>AI có thể sai. Hóa đơn nào AI không chắc sẽ chuyển cho kế toán duyệt, và không hóa đơn nào được hạch toán nếu chưa qua kiểm tra mã số thuế, tổng tiền và thuế. Tỷ lệ chính xác tôi sẽ công bố sau khi có bộ eval (dự kiến 10/11/2026). Hiện tôi chưa có con số đó.</t>
        </is>
      </c>
      <c r="C41" s="7" t="n"/>
      <c r="D41" s="7" t="n"/>
      <c r="E41" s="7" t="n"/>
      <c r="F41" s="7" t="n"/>
      <c r="G41" s="8" t="n"/>
    </row>
    <row r="42" ht="29" customHeight="1">
      <c r="A42" s="18" t="inlineStr">
        <is>
          <t>2. Data của tôi có bị dùng để train model không?</t>
        </is>
      </c>
      <c r="B42" s="25" t="inlineStr">
        <is>
          <t>Dữ liệu của khách chỉ dùng để xử lý hóa đơn cho chính họ, không dùng để huấn luyện model. Tôi sẽ ghi điều này vào hợp đồng sau khi kiểm tra điều khoản của nhà cung cấp LLM.</t>
        </is>
      </c>
      <c r="C42" s="7" t="n"/>
      <c r="D42" s="7" t="n"/>
      <c r="E42" s="7" t="n"/>
      <c r="F42" s="7" t="n"/>
      <c r="G42" s="8" t="n"/>
    </row>
    <row r="43" ht="29" customHeight="1">
      <c r="A43" s="18" t="inlineStr">
        <is>
          <t>3. Startup này chết thì data của tôi ở đâu?</t>
        </is>
      </c>
      <c r="B43" s="25" t="inlineStr">
        <is>
          <t>Khách tải được toàn bộ hóa đơn và bút toán (CSV/XML) bất cứ lúc nào, và dữ liệu bị xóa sau 30 ngày khi hết hợp đồng. Tính năng tải dữ liệu tôi dự kiến làm xong trước 30/11/2026.</t>
        </is>
      </c>
      <c r="C43" s="7" t="n"/>
      <c r="D43" s="7" t="n"/>
      <c r="E43" s="7" t="n"/>
      <c r="F43" s="7" t="n"/>
      <c r="G43" s="8" t="n"/>
    </row>
  </sheetData>
  <mergeCells count="33">
    <mergeCell ref="B42:G42"/>
    <mergeCell ref="D12:G12"/>
    <mergeCell ref="B23:G23"/>
    <mergeCell ref="B8:G8"/>
    <mergeCell ref="D30:G30"/>
    <mergeCell ref="D29:G29"/>
    <mergeCell ref="D14:G14"/>
    <mergeCell ref="B28:G28"/>
    <mergeCell ref="E38:F38"/>
    <mergeCell ref="D20:G20"/>
    <mergeCell ref="A34:G34"/>
    <mergeCell ref="B9:G9"/>
    <mergeCell ref="D19:G19"/>
    <mergeCell ref="B15:G15"/>
    <mergeCell ref="B6:G6"/>
    <mergeCell ref="D22:G22"/>
    <mergeCell ref="B24:G24"/>
    <mergeCell ref="B38:C38"/>
    <mergeCell ref="B5:G5"/>
    <mergeCell ref="B37:C37"/>
    <mergeCell ref="B41:G41"/>
    <mergeCell ref="D21:G21"/>
    <mergeCell ref="B26:G26"/>
    <mergeCell ref="E36:F36"/>
    <mergeCell ref="B7:G7"/>
    <mergeCell ref="B25:G25"/>
    <mergeCell ref="D17:G17"/>
    <mergeCell ref="B31:G31"/>
    <mergeCell ref="D16:G16"/>
    <mergeCell ref="B36:C36"/>
    <mergeCell ref="A2:G2"/>
    <mergeCell ref="E37:F37"/>
    <mergeCell ref="B43:G43"/>
  </mergeCells>
  <conditionalFormatting sqref="B23:G23">
    <cfRule type="expression" priority="1" dxfId="1" stopIfTrue="1">
      <formula>LEFT(B23,1)="✓"</formula>
    </cfRule>
    <cfRule type="expression" priority="2" dxfId="3" stopIfTrue="1">
      <formula>LEFT(B23,1)="✗"</formula>
    </cfRule>
    <cfRule type="expression" priority="3" dxfId="2" stopIfTrue="1">
      <formula>LEFT(B23,1)="~"</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7F7F7F"/>
    <outlinePr summaryBelow="1" summaryRight="1"/>
    <pageSetUpPr fitToPage="1"/>
  </sheetPr>
  <dimension ref="A1:I40"/>
  <sheetViews>
    <sheetView showGridLines="0"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6" customWidth="1" min="8" max="8"/>
    <col width="64" customWidth="1" min="9" max="9"/>
  </cols>
  <sheetData>
    <row r="1">
      <c r="A1" s="1" t="inlineStr">
        <is>
          <t>6_Benchmarks — Bảng giá &amp; benchmark tham chiếu (CHỈ ĐỌC)</t>
        </is>
      </c>
    </row>
    <row r="2" ht="27" customHeight="1">
      <c r="A2" s="2" t="inlineStr">
        <is>
          <t>Dòng "✓ kiểm tra 13/10/2026" = đã mở trang giá gốc ngày làm bài. Dòng "theo đề Lab, chưa kiểm tra lại" = số liệu chốt 26/08/2026 trong đề (§3.5), mô hình này không dùng. ⌛ = giá khuyến mại có hạn. Mọi con số giá phải có ngày kiểm tra.</t>
        </is>
      </c>
    </row>
    <row r="4" ht="18" customHeight="1">
      <c r="A4" s="3" t="inlineStr">
        <is>
          <t>A. Giá API LLM — Anthropic · ✓ kiểm tra 13/10/2026 · USD / 1 triệu token (MTok)</t>
        </is>
      </c>
      <c r="B4" s="4" t="n"/>
      <c r="C4" s="4" t="n"/>
      <c r="D4" s="4" t="n"/>
      <c r="E4" s="4" t="n"/>
      <c r="F4" s="4" t="n"/>
      <c r="G4" s="4" t="n"/>
      <c r="H4" s="4" t="n"/>
      <c r="I4" s="4" t="n"/>
    </row>
    <row r="5" ht="29" customHeight="1">
      <c r="A5" s="35" t="inlineStr">
        <is>
          <t>Model</t>
        </is>
      </c>
      <c r="B5" s="36" t="inlineStr">
        <is>
          <t>Input</t>
        </is>
      </c>
      <c r="C5" s="36" t="inlineStr">
        <is>
          <t>Cache write 5 phút</t>
        </is>
      </c>
      <c r="D5" s="36" t="inlineStr">
        <is>
          <t>Cache read</t>
        </is>
      </c>
      <c r="E5" s="36" t="inlineStr">
        <is>
          <t>Output</t>
        </is>
      </c>
      <c r="F5" s="36" t="inlineStr">
        <is>
          <t>Batch input</t>
        </is>
      </c>
      <c r="G5" s="36" t="inlineStr">
        <is>
          <t>Batch output</t>
        </is>
      </c>
      <c r="H5" s="36" t="inlineStr">
        <is>
          <t>Ngày kiểm tra</t>
        </is>
      </c>
      <c r="I5" s="36" t="inlineStr">
        <is>
          <t>Nguồn / ghi chú</t>
        </is>
      </c>
    </row>
    <row r="6" ht="29" customHeight="1">
      <c r="A6" s="13" t="inlineStr">
        <is>
          <t>Claude Haiku 5.5</t>
        </is>
      </c>
      <c r="B6" s="52" t="n">
        <v>0.1</v>
      </c>
      <c r="C6" s="52" t="n">
        <v>0.125</v>
      </c>
      <c r="D6" s="52" t="n">
        <v>0.01</v>
      </c>
      <c r="E6" s="52" t="n">
        <v>0.5</v>
      </c>
      <c r="F6" s="52" t="n">
        <v>0.05</v>
      </c>
      <c r="G6" s="52" t="n">
        <v>0.25</v>
      </c>
      <c r="H6" s="53" t="n">
        <v>46308</v>
      </c>
      <c r="I6" s="16" t="inlineStr">
        <is>
          <t>Mức cho prompt ≤ 100.000 token; prompt dài hơn tính $0,50 / $2,50.</t>
        </is>
      </c>
    </row>
    <row r="7" ht="15.5" customHeight="1">
      <c r="A7" s="13" t="inlineStr">
        <is>
          <t>Claude Haiku 4.5</t>
        </is>
      </c>
      <c r="B7" s="52" t="n">
        <v>1</v>
      </c>
      <c r="C7" s="52" t="n">
        <v>1.25</v>
      </c>
      <c r="D7" s="52" t="n">
        <v>0.1</v>
      </c>
      <c r="E7" s="52" t="n">
        <v>5</v>
      </c>
      <c r="F7" s="52" t="n">
        <v>0.5</v>
      </c>
      <c r="G7" s="52" t="n">
        <v>2.5</v>
      </c>
      <c r="H7" s="53" t="n">
        <v>46308</v>
      </c>
      <c r="I7" s="16" t="inlineStr">
        <is>
          <t>Model dùng trong worked example của đề.</t>
        </is>
      </c>
    </row>
    <row r="8" ht="29" customHeight="1">
      <c r="A8" s="13" t="inlineStr">
        <is>
          <t>Claude Sonnet 5.5</t>
        </is>
      </c>
      <c r="B8" s="52" t="n">
        <v>2</v>
      </c>
      <c r="C8" s="52" t="n">
        <v>2.5</v>
      </c>
      <c r="D8" s="52" t="n">
        <v>0.1</v>
      </c>
      <c r="E8" s="52" t="n">
        <v>10</v>
      </c>
      <c r="F8" s="52" t="n">
        <v>1</v>
      </c>
      <c r="G8" s="52" t="n">
        <v>5</v>
      </c>
      <c r="H8" s="53" t="n">
        <v>46308</v>
      </c>
      <c r="I8" s="16" t="inlineStr">
        <is>
          <t>Cache hit = 0,05× giá input (trang giá, chú thích 2). MODEL CƠ SỞ của mô hình này.</t>
        </is>
      </c>
    </row>
    <row r="9" ht="29" customHeight="1">
      <c r="A9" s="13" t="inlineStr">
        <is>
          <t>Claude Sonnet 5</t>
        </is>
      </c>
      <c r="B9" s="52" t="n">
        <v>2</v>
      </c>
      <c r="C9" s="52" t="n">
        <v>2.5</v>
      </c>
      <c r="D9" s="52" t="n">
        <v>0.2</v>
      </c>
      <c r="E9" s="52" t="n">
        <v>10</v>
      </c>
      <c r="F9" s="52" t="n">
        <v>1</v>
      </c>
      <c r="G9" s="52" t="n">
        <v>5</v>
      </c>
      <c r="H9" s="53" t="n">
        <v>46308</v>
      </c>
      <c r="I9" s="16" t="inlineStr">
        <is>
          <t>Giá $2/$10 từng là giá giới thiệu đến 31/08/2026, nay là giá chuẩn; đợt tăng lên $3/$15 sẽ không xảy ra.</t>
        </is>
      </c>
    </row>
    <row r="10" ht="15.5" customHeight="1">
      <c r="A10" s="13" t="inlineStr">
        <is>
          <t>Claude Opus 5.5</t>
        </is>
      </c>
      <c r="B10" s="52" t="n">
        <v>4</v>
      </c>
      <c r="C10" s="52" t="n">
        <v>5</v>
      </c>
      <c r="D10" s="52" t="n">
        <v>0.2</v>
      </c>
      <c r="E10" s="52" t="n">
        <v>20</v>
      </c>
      <c r="F10" s="52" t="n">
        <v>2</v>
      </c>
      <c r="G10" s="52" t="n">
        <v>10</v>
      </c>
      <c r="H10" s="53" t="n">
        <v>46308</v>
      </c>
      <c r="I10" s="16" t="inlineStr">
        <is>
          <t>Cache hit = 0,05× giá input.</t>
        </is>
      </c>
    </row>
    <row r="11" ht="15.5" customHeight="1">
      <c r="A11" s="13" t="inlineStr">
        <is>
          <t>Claude Opus 5</t>
        </is>
      </c>
      <c r="B11" s="52" t="n">
        <v>5</v>
      </c>
      <c r="C11" s="52" t="n">
        <v>6.25</v>
      </c>
      <c r="D11" s="52" t="n">
        <v>0.5</v>
      </c>
      <c r="E11" s="52" t="n">
        <v>25</v>
      </c>
      <c r="F11" s="52" t="n">
        <v>2.5</v>
      </c>
      <c r="G11" s="52" t="n">
        <v>12.5</v>
      </c>
      <c r="H11" s="53" t="n">
        <v>46308</v>
      </c>
      <c r="I11" s="16" t="inlineStr">
        <is>
          <t>Khớp bảng của đề (26/08/2026).</t>
        </is>
      </c>
    </row>
    <row r="12" ht="15.5" customHeight="1">
      <c r="A12" s="13" t="inlineStr">
        <is>
          <t>Claude Fable 5.1</t>
        </is>
      </c>
      <c r="B12" s="52" t="n">
        <v>10</v>
      </c>
      <c r="C12" s="52" t="n">
        <v>12.5</v>
      </c>
      <c r="D12" s="52" t="n">
        <v>0.25</v>
      </c>
      <c r="E12" s="52" t="n">
        <v>50</v>
      </c>
      <c r="F12" s="52" t="n">
        <v>5</v>
      </c>
      <c r="G12" s="52" t="n">
        <v>25</v>
      </c>
      <c r="H12" s="53" t="n">
        <v>46308</v>
      </c>
      <c r="I12" s="16" t="inlineStr">
        <is>
          <t>Cache hit = 0,025× giá input.</t>
        </is>
      </c>
    </row>
    <row r="13" ht="27" customHeight="1">
      <c r="A13" s="27" t="inlineStr">
        <is>
          <t>Nguồn: https://platform.claude.com/docs/en/about-claude/pricing (mở ngày 13/10/2026). So với bảng 26/08/2026 trong đề: trang giá nay có thêm Opus 5.5 ($4/$20), Sonnet 5.5 và Haiku 5.5 ($0,10/$0,50). Haiku 4.5 và Opus 5 không đổi. Batch API giảm 50% cả input lẫn output; hệ số cache cộng dồn với Batch.</t>
        </is>
      </c>
    </row>
    <row r="15" ht="18" customHeight="1">
      <c r="A15" s="3" t="inlineStr">
        <is>
          <t>B. Giá API khác (dùng cho biến thể thoại / đối chiếu nhà cung cấp)</t>
        </is>
      </c>
      <c r="B15" s="4" t="n"/>
      <c r="C15" s="4" t="n"/>
      <c r="D15" s="4" t="n"/>
      <c r="E15" s="4" t="n"/>
      <c r="F15" s="4" t="n"/>
      <c r="G15" s="4" t="n"/>
      <c r="H15" s="4" t="n"/>
      <c r="I15" s="4" t="n"/>
    </row>
    <row r="16" ht="29" customHeight="1">
      <c r="A16" s="35" t="inlineStr">
        <is>
          <t>Hạng mục</t>
        </is>
      </c>
      <c r="B16" s="36" t="inlineStr">
        <is>
          <t>Giá và ghi chú</t>
        </is>
      </c>
      <c r="C16" s="36" t="inlineStr"/>
      <c r="D16" s="36" t="inlineStr"/>
      <c r="E16" s="36" t="inlineStr"/>
      <c r="F16" s="36" t="inlineStr"/>
      <c r="G16" s="36" t="inlineStr"/>
      <c r="H16" s="36" t="inlineStr">
        <is>
          <t>Ngày kiểm tra</t>
        </is>
      </c>
      <c r="I16" s="36" t="inlineStr">
        <is>
          <t>Nguồn</t>
        </is>
      </c>
    </row>
    <row r="17" ht="42.5" customHeight="1">
      <c r="A17" s="13" t="inlineStr">
        <is>
          <t>OpenAI GPT-5.6 Sol ⌛</t>
        </is>
      </c>
      <c r="B17" s="16" t="inlineStr">
        <is>
          <t>✓ $4 input / $20 output; cached input $0,40 mỗi 1M token. Trang giá ghi giá khuyến mại "ít nhất đến 21/11/2026". Mức list $5/$30 theo đề Lab, CHƯA xác nhận lại (trang chỉ cho thấy tầng &gt;272K token: $8 / $30).</t>
        </is>
      </c>
      <c r="C17" s="7" t="n"/>
      <c r="D17" s="7" t="n"/>
      <c r="E17" s="7" t="n"/>
      <c r="F17" s="7" t="n"/>
      <c r="G17" s="8" t="n"/>
      <c r="H17" s="53" t="n">
        <v>46308</v>
      </c>
      <c r="I17" s="16" t="inlineStr">
        <is>
          <t>https://developers.openai.com/api/docs/pricing</t>
        </is>
      </c>
    </row>
    <row r="18" ht="29" customHeight="1">
      <c r="A18" s="13" t="inlineStr">
        <is>
          <t>Google Gemini 3.8 Flash ⌛ (đề ghi 3.7 Flash)</t>
        </is>
      </c>
      <c r="B18" s="16" t="inlineStr">
        <is>
          <t>✓ $0,75 input / $3,75 output đến 31/12/2026, sau đó $1,50 / $7,50. Trang giá hiện liệt kê 3.8 Flash và 3.6 Flash, không còn 3.7 Flash; không có giá audio riêng cho model này.</t>
        </is>
      </c>
      <c r="C18" s="7" t="n"/>
      <c r="D18" s="7" t="n"/>
      <c r="E18" s="7" t="n"/>
      <c r="F18" s="7" t="n"/>
      <c r="G18" s="8" t="n"/>
      <c r="H18" s="53" t="n">
        <v>46308</v>
      </c>
      <c r="I18" s="16" t="inlineStr">
        <is>
          <t>https://ai.google.dev/gemini-api/docs/pricing</t>
        </is>
      </c>
    </row>
    <row r="19" ht="29" customHeight="1">
      <c r="A19" s="13" t="inlineStr">
        <is>
          <t>Deepgram Nova-3 ⌛</t>
        </is>
      </c>
      <c r="B19" s="16" t="inlineStr">
        <is>
          <t>Theo đề Lab: pre-recorded $0,0043/phút; streaming list $0,0077/phút, khuyến mại $0,0048/phút. CHƯA kiểm tra lại. Sản phẩm này không dùng thoại.</t>
        </is>
      </c>
      <c r="C19" s="7" t="n"/>
      <c r="D19" s="7" t="n"/>
      <c r="E19" s="7" t="n"/>
      <c r="F19" s="7" t="n"/>
      <c r="G19" s="8" t="n"/>
      <c r="H19" s="53" t="n">
        <v>46260</v>
      </c>
      <c r="I19" s="16" t="inlineStr">
        <is>
          <t>https://deepgram.com/pricing</t>
        </is>
      </c>
    </row>
    <row r="20" ht="15.5" customHeight="1">
      <c r="A20" s="13" t="inlineStr">
        <is>
          <t>AssemblyAI Universal-2</t>
        </is>
      </c>
      <c r="B20" s="16" t="inlineStr">
        <is>
          <t>Theo đề Lab: async $0,0025/phút. CHƯA kiểm tra lại.</t>
        </is>
      </c>
      <c r="C20" s="7" t="n"/>
      <c r="D20" s="7" t="n"/>
      <c r="E20" s="7" t="n"/>
      <c r="F20" s="7" t="n"/>
      <c r="G20" s="8" t="n"/>
      <c r="H20" s="53" t="n">
        <v>46260</v>
      </c>
      <c r="I20" s="16" t="inlineStr">
        <is>
          <t>https://www.assemblyai.com/pricing</t>
        </is>
      </c>
    </row>
    <row r="21" ht="29" customHeight="1">
      <c r="A21" s="13" t="inlineStr">
        <is>
          <t>Google Cloud STT / TTS</t>
        </is>
      </c>
      <c r="B21" s="16" t="inlineStr">
        <is>
          <t>Theo đề Lab: STT tính theo từng kênh audio; TTS Standard $4 / 1M ký tự, Studio $160 / 1M ký tự. CHƯA kiểm tra lại.</t>
        </is>
      </c>
      <c r="C21" s="7" t="n"/>
      <c r="D21" s="7" t="n"/>
      <c r="E21" s="7" t="n"/>
      <c r="F21" s="7" t="n"/>
      <c r="G21" s="8" t="n"/>
      <c r="H21" s="53" t="n">
        <v>46260</v>
      </c>
      <c r="I21" s="16" t="inlineStr">
        <is>
          <t>https://cloud.google.com/speech-to-text/pricing</t>
        </is>
      </c>
    </row>
    <row r="22" ht="29" customHeight="1">
      <c r="A22" s="13" t="inlineStr">
        <is>
          <t>ElevenLabs TTS</t>
        </is>
      </c>
      <c r="B22" s="16" t="inlineStr">
        <is>
          <t>Theo đề Lab: v3/v2 Multilingual $100 / 1M ký tự; Flash/Turbo $50 / 1M ký tự. CHƯA kiểm tra lại.</t>
        </is>
      </c>
      <c r="C22" s="7" t="n"/>
      <c r="D22" s="7" t="n"/>
      <c r="E22" s="7" t="n"/>
      <c r="F22" s="7" t="n"/>
      <c r="G22" s="8" t="n"/>
      <c r="H22" s="53" t="n">
        <v>46260</v>
      </c>
      <c r="I22" s="16" t="inlineStr">
        <is>
          <t>https://elevenlabs.io/pricing/api</t>
        </is>
      </c>
    </row>
    <row r="24" ht="18" customHeight="1">
      <c r="A24" s="3" t="inlineStr">
        <is>
          <t>C. Giá sản phẩm AI (benchmark Value Metric)</t>
        </is>
      </c>
      <c r="B24" s="4" t="n"/>
      <c r="C24" s="4" t="n"/>
      <c r="D24" s="4" t="n"/>
      <c r="E24" s="4" t="n"/>
      <c r="F24" s="4" t="n"/>
      <c r="G24" s="4" t="n"/>
      <c r="H24" s="4" t="n"/>
      <c r="I24" s="4" t="n"/>
    </row>
    <row r="25" ht="29" customHeight="1">
      <c r="A25" s="35" t="inlineStr">
        <is>
          <t>Sản phẩm</t>
        </is>
      </c>
      <c r="B25" s="36" t="inlineStr">
        <is>
          <t>Đơn vị tính tiền và giá</t>
        </is>
      </c>
      <c r="C25" s="36" t="inlineStr"/>
      <c r="D25" s="36" t="inlineStr"/>
      <c r="E25" s="36" t="inlineStr"/>
      <c r="F25" s="36" t="inlineStr"/>
      <c r="G25" s="36" t="inlineStr"/>
      <c r="H25" s="36" t="inlineStr">
        <is>
          <t>Ngày kiểm tra</t>
        </is>
      </c>
      <c r="I25" s="36" t="inlineStr">
        <is>
          <t>Nguồn</t>
        </is>
      </c>
    </row>
    <row r="26" ht="42.5" customHeight="1">
      <c r="A26" s="13" t="inlineStr">
        <is>
          <t>Veryfi (trích xuất hóa đơn / biên lai) ✓</t>
        </is>
      </c>
      <c r="B26" s="16" t="inlineStr">
        <is>
          <t>Hybrid: cam kết tối thiểu $500/tháng, mua được "&lt;5k tài liệu/tháng"; $0,16 / hóa đơn, $0,08 / biên lai. Cam kết 12 tháng: giảm 1 cent mỗi tài liệu. Gói Free: tối đa 100 tài liệu/tháng.</t>
        </is>
      </c>
      <c r="C26" s="7" t="n"/>
      <c r="D26" s="7" t="n"/>
      <c r="E26" s="7" t="n"/>
      <c r="F26" s="7" t="n"/>
      <c r="G26" s="8" t="n"/>
      <c r="H26" s="53" t="n">
        <v>46308</v>
      </c>
      <c r="I26" s="16" t="inlineStr">
        <is>
          <t>https://www.veryfi.com/pricing/</t>
        </is>
      </c>
    </row>
    <row r="27" ht="42.5" customHeight="1">
      <c r="A27" s="13" t="inlineStr">
        <is>
          <t>Dext Prepare (nhập liệu hóa đơn cho kế toán) ✓</t>
        </is>
      </c>
      <c r="B27" s="16" t="inlineStr">
        <is>
          <t>Gói theo hạn mức tài liệu: $25,21/tháng (US, chưa thuế) cho 250 tài liệu/tháng và 5 user; kéo thanh trượt để tăng hạn mức. Vượt hạn mức: vẫn upload được nhưng chưa trích xuất dữ liệu đến kỳ thanh toán sau. AI Assist add-on $10,5/tháng đến 31/01/2027 ⌛.</t>
        </is>
      </c>
      <c r="C27" s="7" t="n"/>
      <c r="D27" s="7" t="n"/>
      <c r="E27" s="7" t="n"/>
      <c r="F27" s="7" t="n"/>
      <c r="G27" s="8" t="n"/>
      <c r="H27" s="53" t="n">
        <v>46308</v>
      </c>
      <c r="I27" s="16" t="inlineStr">
        <is>
          <t>https://www.dext.com/us/pricing/prepare-direct/</t>
        </is>
      </c>
    </row>
    <row r="28" ht="29" customHeight="1">
      <c r="A28" s="13" t="inlineStr">
        <is>
          <t>Intercom Fin</t>
        </is>
      </c>
      <c r="B28" s="16" t="inlineStr">
        <is>
          <t>Theo đề Lab: Outcome — $0,99 / resolution. CHƯA kiểm tra lại. Khác loại job (CSKH), chỉ dùng làm đối chiếu Outcome.</t>
        </is>
      </c>
      <c r="C28" s="7" t="n"/>
      <c r="D28" s="7" t="n"/>
      <c r="E28" s="7" t="n"/>
      <c r="F28" s="7" t="n"/>
      <c r="G28" s="8" t="n"/>
      <c r="H28" s="53" t="n">
        <v>46260</v>
      </c>
      <c r="I28" s="16" t="inlineStr">
        <is>
          <t>https://fin.ai/pricing/</t>
        </is>
      </c>
    </row>
    <row r="29" ht="42.5" customHeight="1">
      <c r="A29" s="13" t="inlineStr">
        <is>
          <t>GitHub Copilot, Salesforce Agentforce, Zendesk, Notion, Cursor, Clay, Sierra</t>
        </is>
      </c>
      <c r="B29" s="16" t="inlineStr">
        <is>
          <t>Theo đề Lab §3.5 (chốt 26/08/2026): xem link trong đề. CHƯA kiểm tra lại; không dùng trong mô hình này.</t>
        </is>
      </c>
      <c r="C29" s="7" t="n"/>
      <c r="D29" s="7" t="n"/>
      <c r="E29" s="7" t="n"/>
      <c r="F29" s="7" t="n"/>
      <c r="G29" s="8" t="n"/>
      <c r="H29" s="53" t="n">
        <v>46260</v>
      </c>
      <c r="I29" s="16" t="inlineStr">
        <is>
          <t>(xem Lab §3.5)</t>
        </is>
      </c>
    </row>
    <row r="31" ht="18" customHeight="1">
      <c r="A31" s="3" t="inlineStr">
        <is>
          <t>D. Benchmark GTM theo phân khúc (dùng cho 4_Channel_Fit) — theo đề Lab §3.5, chưa kiểm tra lại</t>
        </is>
      </c>
      <c r="B31" s="4" t="n"/>
      <c r="C31" s="4" t="n"/>
      <c r="D31" s="4" t="n"/>
      <c r="E31" s="4" t="n"/>
      <c r="F31" s="4" t="n"/>
      <c r="G31" s="4" t="n"/>
      <c r="H31" s="4" t="n"/>
      <c r="I31" s="4" t="n"/>
    </row>
    <row r="32" ht="42.5" customHeight="1">
      <c r="A32" s="35" t="inlineStr">
        <is>
          <t>Phân khúc</t>
        </is>
      </c>
      <c r="B32" s="36" t="inlineStr">
        <is>
          <t>CAC payback cho phép (tháng)</t>
        </is>
      </c>
      <c r="C32" s="36" t="inlineStr">
        <is>
          <t>Cost per lead ($)</t>
        </is>
      </c>
      <c r="D32" s="36" t="inlineStr">
        <is>
          <t>Cost per opportunity ($)</t>
        </is>
      </c>
      <c r="E32" s="36" t="inlineStr"/>
      <c r="F32" s="36" t="inlineStr"/>
      <c r="G32" s="36" t="inlineStr"/>
      <c r="H32" s="36" t="inlineStr">
        <is>
          <t>Ngày kiểm tra</t>
        </is>
      </c>
      <c r="I32" s="36" t="inlineStr">
        <is>
          <t>Nguồn</t>
        </is>
      </c>
    </row>
    <row r="33" ht="42.5" customHeight="1">
      <c r="A33" s="13" t="inlineStr">
        <is>
          <t>SMB</t>
        </is>
      </c>
      <c r="B33" s="54" t="n">
        <v>12</v>
      </c>
      <c r="C33" s="55" t="n">
        <v>500</v>
      </c>
      <c r="D33" s="55" t="n">
        <v>6300</v>
      </c>
      <c r="H33" s="53" t="n">
        <v>46260</v>
      </c>
      <c r="I33" s="16" t="inlineStr">
        <is>
          <t>Payback: Bessemer, Scaling to $100M (cập nhật 2024). Cost per lead/opportunity: ICONIQ, The State of GTM in 2026 (tr.22) — số liệu theo đề.</t>
        </is>
      </c>
    </row>
    <row r="34" ht="42.5" customHeight="1">
      <c r="A34" s="13" t="inlineStr">
        <is>
          <t>Mid-market</t>
        </is>
      </c>
      <c r="B34" s="54" t="n">
        <v>18</v>
      </c>
      <c r="C34" s="55" t="n">
        <v>600</v>
      </c>
      <c r="D34" s="55" t="n">
        <v>8000</v>
      </c>
      <c r="H34" s="53" t="n">
        <v>46260</v>
      </c>
      <c r="I34" s="16" t="inlineStr">
        <is>
          <t>Payback: Bessemer, Scaling to $100M (cập nhật 2024). Cost per lead/opportunity: ICONIQ, The State of GTM in 2026 (tr.22) — số liệu theo đề.</t>
        </is>
      </c>
    </row>
    <row r="35" ht="42.5" customHeight="1">
      <c r="A35" s="13" t="inlineStr">
        <is>
          <t>Enterprise</t>
        </is>
      </c>
      <c r="B35" s="54" t="n">
        <v>24</v>
      </c>
      <c r="C35" s="55" t="n">
        <v>800</v>
      </c>
      <c r="D35" s="55" t="n">
        <v>11200</v>
      </c>
      <c r="H35" s="53" t="n">
        <v>46260</v>
      </c>
      <c r="I35" s="16" t="inlineStr">
        <is>
          <t>Payback: Bessemer, Scaling to $100M (cập nhật 2024). Cost per lead/opportunity: ICONIQ, The State of GTM in 2026 (tr.22) — số liệu theo đề.</t>
        </is>
      </c>
    </row>
    <row r="37" ht="29" customHeight="1">
      <c r="A37" s="13" t="inlineStr">
        <is>
          <t>Gross Margin AI-native</t>
        </is>
      </c>
      <c r="B37" s="16" t="inlineStr">
        <is>
          <t>ICONIQ 2026 State of AI: ~45% (2025) → ~53% (2026E) → ~59% (2027E). Bessemer State of the Cloud 2024: vertical AI ~65%. Cloud truyền thống 60–80%. GM &gt; 85% ở mô hình AI thường nghĩa là quên một khoản chi phí.</t>
        </is>
      </c>
      <c r="C37" s="7" t="n"/>
      <c r="D37" s="7" t="n"/>
      <c r="E37" s="7" t="n"/>
      <c r="F37" s="7" t="n"/>
      <c r="G37" s="7" t="n"/>
      <c r="H37" s="7" t="n"/>
      <c r="I37" s="8" t="n"/>
    </row>
    <row r="38" ht="15.5" customHeight="1">
      <c r="A38" s="13" t="inlineStr">
        <is>
          <t>LTV:CAC và payback</t>
        </is>
      </c>
      <c r="B38" s="16" t="inlineStr">
        <is>
          <t>David Skok, SaaS Metrics 2.0: LTV:CAC &gt; 3 (tốt nhất 7–8×); CAC payback tốt nhất 5–7 tháng.</t>
        </is>
      </c>
      <c r="C38" s="7" t="n"/>
      <c r="D38" s="7" t="n"/>
      <c r="E38" s="7" t="n"/>
      <c r="F38" s="7" t="n"/>
      <c r="G38" s="7" t="n"/>
      <c r="H38" s="7" t="n"/>
      <c r="I38" s="8" t="n"/>
    </row>
    <row r="39" ht="29" customHeight="1">
      <c r="A39" s="13" t="inlineStr">
        <is>
          <t>Ngưỡng ACV cho Inside Sales</t>
        </is>
      </c>
      <c r="B39" s="16" t="inlineStr">
        <is>
          <t>Tomasz Tunguz (2016): ACV tối thiểu ~$3.000 để nuôi được inside sales team. Tunguz (2017) bác bỏ giả thuyết "vùng chết ACV" bằng dữ liệu công ty đại chúng. Không có nguồn nào chuẩn hóa "vùng chết $50–$1.000"; đó là heuristic, không phải benchmark.</t>
        </is>
      </c>
      <c r="C39" s="7" t="n"/>
      <c r="D39" s="7" t="n"/>
      <c r="E39" s="7" t="n"/>
      <c r="F39" s="7" t="n"/>
      <c r="G39" s="7" t="n"/>
      <c r="H39" s="7" t="n"/>
      <c r="I39" s="8" t="n"/>
    </row>
    <row r="40" ht="29" customHeight="1">
      <c r="A40" s="13" t="inlineStr">
        <is>
          <t>Tỷ giá USD/VND</t>
        </is>
      </c>
      <c r="B40" s="16" t="inlineStr">
        <is>
          <t>Trung bình 36 ngân hàng 06/07/2026: 26.252 (webgia.com/ngoai-te/usd/). Vietcombank 05/07/2026: mua 26.073 / bán 26.463. Chưa tìm được tỷ giá tháng 10/2026 — cập nhật theo Vietcombank ngày nộp bài.</t>
        </is>
      </c>
      <c r="C40" s="7" t="n"/>
      <c r="D40" s="7" t="n"/>
      <c r="E40" s="7" t="n"/>
      <c r="F40" s="7" t="n"/>
      <c r="G40" s="7" t="n"/>
      <c r="H40" s="7" t="n"/>
      <c r="I40" s="8" t="n"/>
    </row>
  </sheetData>
  <mergeCells count="16">
    <mergeCell ref="B19:G19"/>
    <mergeCell ref="B20:G20"/>
    <mergeCell ref="A2:I2"/>
    <mergeCell ref="B28:G28"/>
    <mergeCell ref="B22:G22"/>
    <mergeCell ref="B39:I39"/>
    <mergeCell ref="B38:I38"/>
    <mergeCell ref="A13:I13"/>
    <mergeCell ref="B17:G17"/>
    <mergeCell ref="B27:G27"/>
    <mergeCell ref="B26:G26"/>
    <mergeCell ref="B18:G18"/>
    <mergeCell ref="B37:I37"/>
    <mergeCell ref="B21:G21"/>
    <mergeCell ref="B29:G29"/>
    <mergeCell ref="B40:I4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2026-10-12T18:16:18Z</dcterms:created>
  <dcterms:modified xmlns:dcterms="http://purl.org/dc/terms/" xmlns:xsi="http://www.w3.org/2001/XMLSchema-instance" xsi:type="dcterms:W3CDTF">2026-10-12T18:16:19Z</dcterms:modified>
</cp:coreProperties>
</file>